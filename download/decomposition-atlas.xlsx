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tlas" sheetId="1" state="visible" r:id="rId3"/>
    <sheet name="Corpus" sheetId="2" state="visible" r:id="rId4"/>
    <sheet name="Parts" sheetId="3" state="visible" r:id="rId5"/>
    <sheet name="Gates" sheetId="4" state="visible" r:id="rId6"/>
    <sheet name="Ideas" sheetId="5" state="visible" r:id="rId7"/>
    <sheet name="Cells" sheetId="6" state="visible" r:id="rId8"/>
    <sheet name="Ledger" sheetId="7" state="visible" r:id="rId9"/>
    <sheet name="Sweep" sheetId="8" state="visible" r:id="rId10"/>
    <sheet name="Review"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<sst xmlns="http://schemas.openxmlformats.org/spreadsheetml/2006/main" count="12909" uniqueCount="5830">
  <si>
    <t xml:space="preserve">The Decomposition Atlas — wave-66</t>
  </si>
  <si>
    <t xml:space="preserve">field</t>
  </si>
  <si>
    <t xml:space="preserve">value</t>
  </si>
  <si>
    <t xml:space="preserve">What this is</t>
  </si>
  <si>
    <t xml:space="preserve">Every sibling work pushed to SuperInstance (and the external research it leaned on), decomposed into elementary parts as spreadsheet logic.</t>
  </si>
  <si>
    <t xml:space="preserve">Method</t>
  </si>
  <si>
    <t xml:space="preserve">5 canonical layers (substrate/mechanism/policy/interface/evidence); each part carries a gate, a failure mode, and file:line evidence; jevs swept the gates (soft emits; observation only at holes).</t>
  </si>
  <si>
    <t xml:space="preserve">Corpus</t>
  </si>
  <si>
    <t xml:space="preserve">29 works across 6 families (substrate, garden, swarm, organ, labs, meta)</t>
  </si>
  <si>
    <t xml:space="preserve">Elementary parts</t>
  </si>
  <si>
    <t xml:space="preserve">Gated parts</t>
  </si>
  <si>
    <t xml:space="preserve">401 (75.9%)</t>
  </si>
  <si>
    <t xml:space="preserve">Gate holes (observed)</t>
  </si>
  <si>
    <t xml:space="preserve">Gate kinds</t>
  </si>
  <si>
    <t xml:space="preserve">invariant:100, postcondition:87, admission:67, seal:52, precondition:50, budget:25, conservation:20</t>
  </si>
  <si>
    <t xml:space="preserve">Sweep field</t>
  </si>
  <si>
    <t xml:space="preserve">exoj policy=ledger, deformations=474, observations=130, prob_open=0.14</t>
  </si>
  <si>
    <t xml:space="preserve">Chain of record</t>
  </si>
  <si>
    <t xml:space="preserve">606 links, verify ok=True, tip 13463fd02be3ac4f…</t>
  </si>
  <si>
    <t xml:space="preserve">Doctrine</t>
  </si>
  <si>
    <t xml:space="preserve">Elementary = cannot be split further without changing meaning. Decision rules before the run. Honest negatives are crown jewels. Ledgers append-only.</t>
  </si>
  <si>
    <t xml:space="preserve">The five layers of logic</t>
  </si>
  <si>
    <t xml:space="preserve">substrate</t>
  </si>
  <si>
    <t xml:space="preserve">what irreducible representation does the work stand on?</t>
  </si>
  <si>
    <t xml:space="preserve">mechanism</t>
  </si>
  <si>
    <t xml:space="preserve">what transforms state, and from what to what?</t>
  </si>
  <si>
    <t xml:space="preserve">policy</t>
  </si>
  <si>
    <t xml:space="preserve">what decides, admits, prices, or refuses?</t>
  </si>
  <si>
    <t xml:space="preserve">interface</t>
  </si>
  <si>
    <t xml:space="preserve">what does the outside touch (wires, tools, sheets)?</t>
  </si>
  <si>
    <t xml:space="preserve">evidence</t>
  </si>
  <si>
    <t xml:space="preserve">what proves it ran, and what makes tampering loud?</t>
  </si>
  <si>
    <t xml:space="preserve">Corpus — the studied works</t>
  </si>
  <si>
    <t xml:space="preserve">work</t>
  </si>
  <si>
    <t xml:space="preserve">family</t>
  </si>
  <si>
    <t xml:space="preserve">repo_path</t>
  </si>
  <si>
    <t xml:space="preserve">head</t>
  </si>
  <si>
    <t xml:space="preserve">smoke_verdict</t>
  </si>
  <si>
    <t xml:space="preserve">smoke_notes</t>
  </si>
  <si>
    <t xml:space="preserve">essence</t>
  </si>
  <si>
    <t xml:space="preserve">parts</t>
  </si>
  <si>
    <t xml:space="preserve">gates</t>
  </si>
  <si>
    <t xml:space="preserve">holes</t>
  </si>
  <si>
    <t xml:space="preserve">L0</t>
  </si>
  <si>
    <t xml:space="preserve">L1</t>
  </si>
  <si>
    <t xml:space="preserve">L2</t>
  </si>
  <si>
    <t xml:space="preserve">L3</t>
  </si>
  <si>
    <t xml:space="preserve">L4</t>
  </si>
  <si>
    <t xml:space="preserve">ideas</t>
  </si>
  <si>
    <t xml:space="preserve">prob_open</t>
  </si>
  <si>
    <t xml:space="preserve">qthe</t>
  </si>
  <si>
    <t xml:space="preserve">/home/z/my-project/qthe</t>
  </si>
  <si>
    <t xml:space="preserve">6017f80</t>
  </si>
  <si>
    <t xml:space="preserve">PASS 54/54</t>
  </si>
  <si>
    <t xml:space="preserve">Repo's own negative-control selftest: 54 cases, 0 escapes (S1 tamper sweep 49/49, S2-S6 fail-closed). Cheapest runnable in-repo suite. Honest negatives: (1) the</t>
  </si>
  <si>
    <t xml:space="preserve">One-byte ternary hyper-embedding: 6-bit spatial amplitude + 2-bit timbre, integer-exact kernel with wormhole mechanics and pre-registered gates.</t>
  </si>
  <si>
    <t xml:space="preserve">quilt-jepa</t>
  </si>
  <si>
    <t xml:space="preserve">/home/z/my-project/quilt-jepa</t>
  </si>
  <si>
    <t xml:space="preserve">a47762a</t>
  </si>
  <si>
    <t xml:space="preserve">PASS (chain + seals)</t>
  </si>
  <si>
    <t xml:space="preserve">Repo's own fail-closed verifier, read-only: 'OK chain 7 rows, tip 09e84771c690..., claims 3/6, registration seal verified' exit 0. Honest negatives: (1) `node r</t>
  </si>
  <si>
    <t xml:space="preserve">Tiny JEPA world model in a cell mesh: per-cell latents, EMA targets, conservation-law surprise diffusion, ten rounds of pre-registered claims.</t>
  </si>
  <si>
    <t xml:space="preserve">jev-quilt</t>
  </si>
  <si>
    <t xml:space="preserve">/home/z/my-project/jev-quilt</t>
  </si>
  <si>
    <t xml:space="preserve">30e431b</t>
  </si>
  <si>
    <t xml:space="preserve">PASS 249 ran, 0 failures (6 skipped, 2 expected failures) in 38.5s</t>
  </si>
  <si>
    <t xml:space="preserve">Full suite measured live (README's '81 passed, 3 skipped' is stale — the suite has grown; suite status is MEASURED not written, exactly as the README demands). </t>
  </si>
  <si>
    <t xml:space="preserve">Cellular-first decision substrate: typed decision-surface cells, delta hooks with deadband floors, per-cell append-only bookkeeper, exact Q16 rationals.</t>
  </si>
  <si>
    <t xml:space="preserve">quilt-qcells</t>
  </si>
  <si>
    <t xml:space="preserve">/home/z/my-project/quilt-qcells</t>
  </si>
  <si>
    <t xml:space="preserve">615ddcf</t>
  </si>
  <si>
    <t xml:space="preserve">PASS — ALL GREEN, P1-P4 (16 circuits, 1418 rows, 4254/4254 tamper localized, 5/5 negatives, 6.4s)</t>
  </si>
  <si>
    <t xml:space="preserve">Run in a /tmp scratch copy (cp -rp) because the task forbids modifying the studied repo and a conformance run writes receipts. Honest negative found: the commit</t>
  </si>
  <si>
    <t xml:space="preserve">Quantum ops as quilt cells: the fnv1a-64 hash-chain ledger IS the circuit — 7 opcodes, replay equals oracle, single-byte tamper localization, out-of-band anchors.</t>
  </si>
  <si>
    <t xml:space="preserve">jev-garden</t>
  </si>
  <si>
    <t xml:space="preserve">garden</t>
  </si>
  <si>
    <t xml:space="preserve">/home/z/my-project/jev-garden</t>
  </si>
  <si>
    <t xml:space="preserve">d05e1d9</t>
  </si>
  <si>
    <t xml:space="preserve">PASS 30/30</t>
  </si>
  <si>
    <t xml:space="preserve">Second verdict: node smoke.mjs -&gt; PASS 9/9 (exit 0). Both offline, no API key, &lt;5s. teacher.mjs (the only networked module) is never invoked by tests; selftest </t>
  </si>
  <si>
    <t xml:space="preserve">living JEV: rhizome+parametric head, watch-deform-observe-idle-compile-serve, sealed promotion gate</t>
  </si>
  <si>
    <t xml:space="preserve">jeviter</t>
  </si>
  <si>
    <t xml:space="preserve">/home/z/my-project/jeviter</t>
  </si>
  <si>
    <t xml:space="preserve">b8c5801</t>
  </si>
  <si>
    <t xml:space="preserve">PASS 85/85</t>
  </si>
  <si>
    <t xml:space="preserve">node --test auto-discovery, 0.7s, offline, zero deps. Additional dog-food: node examples/vibe-distill.js --check -&gt; '[distill] --check re-verify: PASS' (3 pinne</t>
  </si>
  <si>
    <t xml:space="preserve">homeostatic iteration: rest-and-react on surprise, every silence receipted, living threshold ratchets</t>
  </si>
  <si>
    <t xml:space="preserve">exoj</t>
  </si>
  <si>
    <t xml:space="preserve">/home/z/my-project/exoj</t>
  </si>
  <si>
    <t xml:space="preserve">a34ab8d</t>
  </si>
  <si>
    <t xml:space="preserve">PASS 3/3</t>
  </si>
  <si>
    <t xml:space="preserve">Seedbox-inherited smoke (sha256 KAT, randomBytes, charter present), &lt;1s, offline. Stronger second verdict: node experiments/e_x0_pocs.mjs -&gt; EX0 VERDICT 8/8 PAS</t>
  </si>
  <si>
    <t xml:space="preserve">field is primary: non-collapsing hex-lattice scratch-paper, soft JEV writes, recorded observation, content-addressed proof</t>
  </si>
  <si>
    <t xml:space="preserve">fleet-seeds</t>
  </si>
  <si>
    <t xml:space="preserve">/home/z/my-project/fleet-seeds</t>
  </si>
  <si>
    <t xml:space="preserve">8d875df</t>
  </si>
  <si>
    <t xml:space="preserve">PASS (1 commit, SMOKE OK 3/3, tree clean after cleanup)</t>
  </si>
  <si>
    <t xml:space="preserve">The offline mode exists: --selftest spawns a demo repo in .selftest/ (git init + first commit, no network), runs its smoke.mjs (3/3 green), then removes everyth</t>
  </si>
  <si>
    <t xml:space="preserve">the seedbox: seed.md -&gt; rigor-at-birth repo whose first commit is charter law</t>
  </si>
  <si>
    <t xml:space="preserve">quilt-murmur</t>
  </si>
  <si>
    <t xml:space="preserve">swarm</t>
  </si>
  <si>
    <t xml:space="preserve">/home/z/my-project/download/quilt-murmur</t>
  </si>
  <si>
    <t xml:space="preserve">2a38044</t>
  </si>
  <si>
    <t xml:space="preserve">SMOKE OK — 16/16 checks pass</t>
  </si>
  <si>
    <t xml:space="preserve">Offline, no API keys (MothVault degrades to labeled mock), &lt;1s wall. Checks: engine reflex self-write, bus pool in (0,1) + zero-trust zero-influence, hedge lead</t>
  </si>
  <si>
    <t xml:space="preserve">Gossip trust economy: envelope + log-odds pooling, Hedge trust, provenance/admission gates, evolutionary gardener — every claim receipted</t>
  </si>
  <si>
    <t xml:space="preserve">quilt-pincher</t>
  </si>
  <si>
    <t xml:space="preserve">/home/z/my-project/quilt-pincher</t>
  </si>
  <si>
    <t xml:space="preserve">15fcd53</t>
  </si>
  <si>
    <t xml:space="preserve">12/12 tests pass, 0 fail (5.2s, offline)</t>
  </si>
  <si>
    <t xml:space="preserve">node:test runner via tsx; covers direct-hit tier, confirm tier, compile tier (mock compiler), veto paths, confidence climb, PincherSheet composition, and the th</t>
  </si>
  <si>
    <t xml:space="preserve">Reflex engine built entirely from quilt cells: pinch, match, veto, execute — three latency tiers, LLM only as compiler</t>
  </si>
  <si>
    <t xml:space="preserve">crab-traps</t>
  </si>
  <si>
    <t xml:space="preserve">/home/z/my-project/crab-traps</t>
  </si>
  <si>
    <t xml:space="preserve">37c34bb</t>
  </si>
  <si>
    <t xml:space="preserve">12/12 controls PASS, fail-closed (0.18s, stdlib-only, zero network)</t>
  </si>
  <si>
    <t xml:space="preserve">Negative controls T1-T8 (tampered stone bytes, wrong pins, flipped witness/artifact/prediction/fixture bytes, skipped middle receipt) each -&gt; DISAGREE; POS unta</t>
  </si>
  <si>
    <t xml:space="preserve">Lures put foreign bots to work; canonical-JSON hash chains, consent plaque and honest economy make every catch and every tamper loud</t>
  </si>
  <si>
    <t xml:space="preserve">quilt-organ-workers</t>
  </si>
  <si>
    <t xml:space="preserve">organ</t>
  </si>
  <si>
    <t xml:space="preserve">/home/z/my-project/quilt-organ-workers</t>
  </si>
  <si>
    <t xml:space="preserve">45f4768</t>
  </si>
  <si>
    <t xml:space="preserve">NOT_RUN</t>
  </si>
  <si>
    <t xml:space="preserve">Reason: CF worker requires deploy — scripts/deploy.sh authenticates to the Cloudflare REST API (token verify, KV namespace, script upload, cron schedules) and t</t>
  </si>
  <si>
    <t xml:space="preserve">Three Cloudflare workers: content-addressed organ store, independent drift watcher, judge relay.</t>
  </si>
  <si>
    <t xml:space="preserve">quilt-jev-toolkit</t>
  </si>
  <si>
    <t xml:space="preserve">/home/z/my-project/quilt-jev-toolkit</t>
  </si>
  <si>
    <t xml:space="preserve">c9840b2</t>
  </si>
  <si>
    <t xml:space="preserve">PASS 44/44 (145ms) + boot-demo PASS + rewind-demo 7/7 stages PASS (all offline)</t>
  </si>
  <si>
    <t xml:space="preserve">Suite = 34 v0/v1 tests untouched + 10 v2 (signed checkpoints, partial custody). Demos re-ran fresh this lane and wrote their receipts (examples/receipts/boot-de</t>
  </si>
  <si>
    <t xml:space="preserve">Organ protocol v0→v2: verified custody bundles, rewind family, double-entry nesting, signed checkpoints.</t>
  </si>
  <si>
    <t xml:space="preserve">quilt-mcp-receipts</t>
  </si>
  <si>
    <t xml:space="preserve">/home/z/my-project/quilt-mcp-receipts</t>
  </si>
  <si>
    <t xml:space="preserve">889960a</t>
  </si>
  <si>
    <t xml:space="preserve">PASS 15/15 (5.6s, offline)</t>
  </si>
  <si>
    <t xml:space="preserve">Every test spawns a real server process and speaks newline-delimited JSON-RPC over stdio; the test signer is re-derived from DESIGN.md §2, not imported from ser</t>
  </si>
  <si>
    <t xml:space="preserve">Fleet receipt chain as signed append-only MCP organ; fail-closed named errors.</t>
  </si>
  <si>
    <t xml:space="preserve">quilt-research-canons</t>
  </si>
  <si>
    <t xml:space="preserve">/home/z/my-project/quilt-research-canons</t>
  </si>
  <si>
    <t xml:space="preserve">3547d01</t>
  </si>
  <si>
    <t xml:space="preserve">PASS — 5/5 sprint scripts fully conform to the SPRINT-LINEAGE contract; 3/3 JSON artifacts parse</t>
  </si>
  <si>
    <t xml:space="preserve">The sprint scripts themselves were NOT executed: they require API keys (env TYPESAFEAI_KEY etc.) and network calls to api.typesafe.ai / api.deepinfra.com (sprin</t>
  </si>
  <si>
    <t xml:space="preserve">Research canon documents: sprint-lineage protocol, pre-registered predictions, witnesses declaring successors.</t>
  </si>
  <si>
    <t xml:space="preserve">quilt-quant</t>
  </si>
  <si>
    <t xml:space="preserve">labs</t>
  </si>
  <si>
    <t xml:space="preserve">/home/z/my-project/download/quilt-quant</t>
  </si>
  <si>
    <t xml:space="preserve">c20c1c8</t>
  </si>
  <si>
    <t xml:space="preserve">PASS (17/17 checks green, 220ms, offline mode)</t>
  </si>
  <si>
    <t xml:space="preserve">Offline skips the 2 live-channel checks (19 live). Two local fixes were needed, no network used: (1) missing 'yaml' dep satisfied by symlink download/node_modul</t>
  </si>
  <si>
    <t xml:space="preserve">Trading desk as closed-loop cell sheet: simulate first, gated learning, receipts.</t>
  </si>
  <si>
    <t xml:space="preserve">quilt-dba</t>
  </si>
  <si>
    <t xml:space="preserve">/home/z/my-project/download/quilt-dba</t>
  </si>
  <si>
    <t xml:space="preserve">7113eed</t>
  </si>
  <si>
    <t xml:space="preserve">PASS (13/13 checks)</t>
  </si>
  <si>
    <t xml:space="preserve">Honest negative: the repo-root `node smoke.mjs` FAILS (dba/driver.mjs:20 imports TASKS from dba/sheet.mjs which no longer exports it — SyntaxError). The canonic</t>
  </si>
  <si>
    <t xml:space="preserve">Developmental agent as 12-cell seed sheet: growth, conservation law, honest gates.</t>
  </si>
  <si>
    <t xml:space="preserve">quilt-raw</t>
  </si>
  <si>
    <t xml:space="preserve">/home/z/my-project/download/quilt-raw</t>
  </si>
  <si>
    <t xml:space="preserve">e759163</t>
  </si>
  <si>
    <t xml:space="preserve">PASS (18/18 checks sealed)</t>
  </si>
  <si>
    <t xml:space="preserve">Covers q32 arithmetic vs reference (i128&gt;&gt;32 wrap mul, truncating div, exact isqrt), tick 7-ops + ledger, transactional breach halt with ledger bit-unchanged, 5</t>
  </si>
  <si>
    <t xml:space="preserve">v -&gt; L -&gt; G -&gt; v' in exact integer arithmetic: seven ops, exact rewind, no search.</t>
  </si>
  <si>
    <t xml:space="preserve">cot-quilt</t>
  </si>
  <si>
    <t xml:space="preserve">/home/z/my-project/cot-quilt</t>
  </si>
  <si>
    <t xml:space="preserve">0f360b9</t>
  </si>
  <si>
    <t xml:space="preserve">PASS (offline ritual: verdict CLEAN, exit 0) + live pipeline NOT_RUN</t>
  </si>
  <si>
    <t xml:space="preserve">Live run needs DEEPSEEK/TYPESAFE/DEEPINFRA keys and network — forbidden by dog-food rules, so NOT_RUN with that reason. The offline credential scanner is green:</t>
  </si>
  <si>
    <t xml:space="preserve">Cheap models decompose a big model's CoT into a receipted cellular graph.</t>
  </si>
  <si>
    <t xml:space="preserve">MicroMoth-quilt</t>
  </si>
  <si>
    <t xml:space="preserve">/home/z/my-project/MicroMoth-quilt</t>
  </si>
  <si>
    <t xml:space="preserve">b23055c</t>
  </si>
  <si>
    <t xml:space="preserve">PARTIAL (19 passed, 1 failed)</t>
  </si>
  <si>
    <t xml:space="preserve">Honest negative, and the failure is the design working: test_manifest_exists_and_matches FAILED because the tracked tree drifted AFTER the import-baseline manif</t>
  </si>
  <si>
    <t xml:space="preserve">Smallest quantum framework taught to keep receipts: circuit = hash-chained cell ledger.</t>
  </si>
  <si>
    <t xml:space="preserve">moth-research</t>
  </si>
  <si>
    <t xml:space="preserve">/home/z/my-project/moth-research</t>
  </si>
  <si>
    <t xml:space="preserve">NOT_RUN (no executable entry point — docs-only research mooring)</t>
  </si>
  <si>
    <t xml:space="preserve">The repo is offline HTML snapshots of the Moth Quantum API docs (intro, endpoints, 7 engine pages), the vendored MicroMoth source, and the vendored quantum-audi</t>
  </si>
  <si>
    <t xml:space="preserve">Vendored quantum API docs + offline twins: the sourcing discipline behind lab entropy.</t>
  </si>
  <si>
    <t xml:space="preserve">superinstance-site</t>
  </si>
  <si>
    <t xml:space="preserve">meta</t>
  </si>
  <si>
    <t xml:space="preserve">/home/z/my-project/download/superinstance</t>
  </si>
  <si>
    <t xml:space="preserve">PASS</t>
  </si>
  <si>
    <t xml:space="preserve">4 embedded script blocks extracted (4832/12981/21103/1988 bytes); largest parses clean under node --check. Full page NOT_RUN in DOM (needs headless Chromium; th</t>
  </si>
  <si>
    <t xml:space="preserve">the account's public face: brand, positioning map, QA manifesto — running cells instead of screenshots</t>
  </si>
  <si>
    <t xml:space="preserve">quilt-upstream</t>
  </si>
  <si>
    <t xml:space="preserve">/home/z/my-project/quilt-upstream-main</t>
  </si>
  <si>
    <t xml:space="preserve">fdfed69</t>
  </si>
  <si>
    <t xml:space="preserve">Upstream engine core: 4 test files, 36/36 passed in 954ms, fully offline (vitest resolved from the repo's own node_modules). Also python3 -m py_compile quilt-ke</t>
  </si>
  <si>
    <t xml:space="preserve">the upstream quilt repo (external origin, Lucineer): the engine core the fleet knows, plus an out-of-superinstance idea corpus of essays and papers</t>
  </si>
  <si>
    <t xml:space="preserve">breakthrough-prospector</t>
  </si>
  <si>
    <t xml:space="preserve">/home/z/my-project/breakthrough-prospector</t>
  </si>
  <si>
    <t xml:space="preserve">f0034fd</t>
  </si>
  <si>
    <t xml:space="preserve">The scorer RAN offline and emitted the live table: E1 80 RUN (bug-injection self-play), E6 64 RUN, E3 60 RUN with '! F cap: external dependency (Casey)', E7 60 </t>
  </si>
  <si>
    <t xml:space="preserve">a pipeline that turns frontier scouting into pre-registered, receipt-backed experiments — crossing abstractions systematically instead of by luck at 3am</t>
  </si>
  <si>
    <t xml:space="preserve">craftmind-study</t>
  </si>
  <si>
    <t xml:space="preserve">/home/z/my-project/craftmind-study</t>
  </si>
  <si>
    <t xml:space="preserve">Core ranch modules parse clean. Test suites NOT_RUN: tests/test-all.js + integration tests target a Worker/runtime harness not present offline; live instances a</t>
  </si>
  <si>
    <t xml:space="preserve">study of three sibling Cocapn-fleet experiments where learning is emergent and verified-work-only: evolving ranch bots, a blank-slate researcher, correction-trained sheepdogs</t>
  </si>
  <si>
    <t xml:space="preserve">quilt-atlas</t>
  </si>
  <si>
    <t xml:space="preserve">/home/z/my-project/quilt-atlas</t>
  </si>
  <si>
    <t xml:space="preserve">5aa850d</t>
  </si>
  <si>
    <t xml:space="preserve">Generator parses clean. Full re-inventory NOT_RUN: requires GITHUB_TOKEN and network (per README usage), both out of scope for this lane. atlas.json itself was </t>
  </si>
  <si>
    <t xml:space="preserve">prior atlas: a 6h scheduled re-inventory of the account with auditable classification and honest UNMEASURED vocabulary — superseded by wave-66, which decomposes ideas, not repo surfaces</t>
  </si>
  <si>
    <t xml:space="preserve">quilt-codespace</t>
  </si>
  <si>
    <t xml:space="preserve">/home/z/my-project/quilt-codespace</t>
  </si>
  <si>
    <t xml:space="preserve">c8355d6</t>
  </si>
  <si>
    <t xml:space="preserve">The HTTP API server parses clean. Booting the three-service stack NOT_RUN: it is a Codespace deployment (ttyd + HTTP + dashboard via post-create.sh) and the scr</t>
  </si>
  <si>
    <t xml:space="preserve">codespace lane: quilt as a live token-authenticated federated runtime in a browser-terminal Codespace, subscribing to ESP32/Jetson/Cloud siblings</t>
  </si>
  <si>
    <t xml:space="preserve">si-fleet</t>
  </si>
  <si>
    <t xml:space="preserve">/home/z/my-project/si-fleet</t>
  </si>
  <si>
    <t xml:space="preserve">tidepool suite runs fully offline on mocks: 'tide-pool smoke: 18 passed, 0 failed' + node:test 13/13 pass (98ms) covering JEV gate floor refusal, sigma agreemen</t>
  </si>
  <si>
    <t xml:space="preserve">fleet infrastructure as one monorepo of lanes: a shared context ocean, edge quilt runtimes, AI cells, canon headers</t>
  </si>
  <si>
    <t xml:space="preserve">external-scouts</t>
  </si>
  <si>
    <t xml:space="preserve">/home/z/my-project/jev-garden/scouts/raw</t>
  </si>
  <si>
    <t xml:space="preserve">All 5 raw scout JSONs parse: V-JEPA_2_JEPA_world_mode.json (4 results), test-time_training_layer.json (7), knowledge_distillation_L.json (7), hyperdimensional_c</t>
  </si>
  <si>
    <t xml:space="preserve">out-of-superinstance research moorings: five raw web-search receipts the garden synthesized into design justifications — one channel returned junk and was receipted, not hidden</t>
  </si>
  <si>
    <t xml:space="preserve">Elementary parts (528 rows — spreadsheet logic)</t>
  </si>
  <si>
    <t xml:space="preserve">part_id</t>
  </si>
  <si>
    <t xml:space="preserve">layer</t>
  </si>
  <si>
    <t xml:space="preserve">layer_name</t>
  </si>
  <si>
    <t xml:space="preserve">name</t>
  </si>
  <si>
    <t xml:space="preserve">inputs</t>
  </si>
  <si>
    <t xml:space="preserve">outputs</t>
  </si>
  <si>
    <t xml:space="preserve">gate</t>
  </si>
  <si>
    <t xml:space="preserve">gate_kind</t>
  </si>
  <si>
    <t xml:space="preserve">failure_mode</t>
  </si>
  <si>
    <t xml:space="preserve">elementary</t>
  </si>
  <si>
    <t xml:space="preserve">qthe-P01</t>
  </si>
  <si>
    <t xml:space="preserve">pack/unpack bijection over one byte</t>
  </si>
  <si>
    <t xml:space="preserve">c &lt;-&gt; (tau, d) is an exact bijection onto {0..3} x {0..63}; bit 7-6 tau, bit 5-0 d.</t>
  </si>
  <si>
    <t xml:space="preserve">tau, d</t>
  </si>
  <si>
    <t xml:space="preserve">packed byte c, unpacked {tau,d}</t>
  </si>
  <si>
    <t xml:space="preserve">256/256 values round-trip exact AND 256 distinct packed outputs (gate G1)</t>
  </si>
  <si>
    <t xml:space="preserve">postcondition</t>
  </si>
  <si>
    <t xml:space="preserve">any overlap or lossy round-trip would break every downstream trace hash</t>
  </si>
  <si>
    <t xml:space="preserve">yes</t>
  </si>
  <si>
    <t xml:space="preserve">qthe.mjs:66-69</t>
  </si>
  <si>
    <t xml:space="preserve">qthe-P02</t>
  </si>
  <si>
    <t xml:space="preserve">Psi operator map</t>
  </si>
  <si>
    <t xml:space="preserve">The timbre-to-operator character table {0:0, 1:+1, 2:-1, 3:'i'} — Ground contributes to nothing, Attract amplifies, Repel inverts, Abstain is the looking-glass.</t>
  </si>
  <si>
    <t xml:space="preserve">tau</t>
  </si>
  <si>
    <t xml:space="preserve">operator character 0 | +1 | -1 | 'i'</t>
  </si>
  <si>
    <t xml:space="preserve">PSI === [0, 1, -1, 'i'] asserted by G1</t>
  </si>
  <si>
    <t xml:space="preserve">invariant</t>
  </si>
  <si>
    <t xml:space="preserve">qthe.mjs:58-63</t>
  </si>
  <si>
    <t xml:space="preserve">qthe-P03</t>
  </si>
  <si>
    <t xml:space="preserve">split-channel vector pass (integer-exact)</t>
  </si>
  <si>
    <t xml:space="preserve">y_j^R = sum(Attract d*x) - sum(Repel d*x), y_j^I = sum(Abstain d*x); Ground excluded even with d&gt;0; no floats in LAYER 0.</t>
  </si>
  <si>
    <t xml:space="preserve">weights rows of packed bytes, integer xs</t>
  </si>
  <si>
    <t xml:space="preserve">{re, im} per output channel j</t>
  </si>
  <si>
    <t xml:space="preserve">hand-computed fixtures exact and every output Number.isInteger (G4: row0 [A10,R4,I6,G63] x xs[2,3,5,7] -&gt; {re:8, im:30})</t>
  </si>
  <si>
    <t xml:space="preserve">float leakage or a wrong channel assignment would fail the literal fixtures</t>
  </si>
  <si>
    <t xml:space="preserve">qthe.mjs:77-95</t>
  </si>
  <si>
    <t xml:space="preserve">qthe-P04</t>
  </si>
  <si>
    <t xml:space="preserve">substrate allocation with named expandos</t>
  </si>
  <si>
    <t xml:space="preserve">makeSubstrate returns a Uint8Array carrying w, h, ticks, __wormholes and bytes as named properties; serialize via traceView, never JSON.stringify.</t>
  </si>
  <si>
    <t xml:space="preserve">w, h, seedFn(x,y,i)</t>
  </si>
  <si>
    <t xml:space="preserve">row-major packed cell plane</t>
  </si>
  <si>
    <t xml:space="preserve">w, h positive integers else RangeError</t>
  </si>
  <si>
    <t xml:space="preserve">precondition</t>
  </si>
  <si>
    <t xml:space="preserve">JSON.stringify would leak expandos into traces (receipted as R5)</t>
  </si>
  <si>
    <t xml:space="preserve">qthe.mjs:148-160</t>
  </si>
  <si>
    <t xml:space="preserve">qthe-P05</t>
  </si>
  <si>
    <t xml:space="preserve">64-slot wormhole table</t>
  </si>
  <si>
    <t xml:space="preserve">Static allocation, zero runtime discovery: slot s is empty or {x, y, resonance}; sigma parameter default log2(3).</t>
  </si>
  <si>
    <t xml:space="preserve">sigma</t>
  </si>
  <si>
    <t xml:space="preserve">read(slot), write(slot,x,y,resonance), snapshot()</t>
  </si>
  <si>
    <t xml:space="preserve">exactly SLOT_COUNT=64 slots; write outside [0,64) throws RangeError</t>
  </si>
  <si>
    <t xml:space="preserve">qthe.mjs:99-142</t>
  </si>
  <si>
    <t xml:space="preserve">qthe-P06</t>
  </si>
  <si>
    <t xml:space="preserve">twin-resonance read guard</t>
  </si>
  <si>
    <t xml:space="preserve">An Abstain cell with data d reads slot d live; a hit counts only if the occupant is a different (x,y) with resonance != 0; the term resonance*sigma is added to pressure and emitted as an event.</t>
  </si>
  <si>
    <t xml:space="preserve">slot=d of the Abstain cell, wormhole table</t>
  </si>
  <si>
    <t xml:space="preserve">pressure adjustment, twin event {kind,x,y,slot,resonance,term}</t>
  </si>
  <si>
    <t xml:space="preserve">lone Abstain cell never twins after its own first write; every event term === log2(3) exactly (G5 schedule)</t>
  </si>
  <si>
    <t xml:space="preserve">self-resonance (same x,y) or resonance=0 would make single cells self-excite</t>
  </si>
  <si>
    <t xml:space="preserve">qthe.mjs:217-224</t>
  </si>
  <si>
    <t xml:space="preserve">qthe-P07</t>
  </si>
  <si>
    <t xml:space="preserve">wormhole write, last-writer-wins</t>
  </si>
  <si>
    <t xml:space="preserve">After pressure, an Abstain cell writes its own (x, y) and resonance = |real_acc| + 1 to slot d; collisions resolve last-writer-wins while live reads keep same-slot twins mutually audible.</t>
  </si>
  <si>
    <t xml:space="preserve">x, y, |acc|+1, slot=d</t>
  </si>
  <si>
    <t xml:space="preserve">occupied slot, totalWrites++</t>
  </si>
  <si>
    <t xml:space="preserve">totalWrites = 12 after the G5 6-tick twin fixture</t>
  </si>
  <si>
    <t xml:space="preserve">qthe.mjs:123-128, 224</t>
  </si>
  <si>
    <t xml:space="preserve">qthe-P08</t>
  </si>
  <si>
    <t xml:space="preserve">sigma bridge scale policy</t>
  </si>
  <si>
    <t xml:space="preserve">sigma defaults to log2(3) but is a swept parameter: with sigma~1.585 a lone twin flips exactly one unit of net-negative pressure, so the C3 sweep is a real dynamics sweep, not decoration.</t>
  </si>
  <si>
    <t xml:space="preserve">sigma override</t>
  </si>
  <si>
    <t xml:space="preserve">imaginary pressure scale</t>
  </si>
  <si>
    <t xml:space="preserve">the SPEC prices sigma as OPEN: only the sweep {log2(3), 0.5, 1, 2, 4} decides (C3); the gifted 'proof' is receipted as decorative</t>
  </si>
  <si>
    <t xml:space="preserve">budget</t>
  </si>
  <si>
    <t xml:space="preserve">treating log2(3) as proven would be LARP; SPEC.md receipted it as decorative</t>
  </si>
  <si>
    <t xml:space="preserve">qthe.mjs:100, 28-35; SPEC.md:75</t>
  </si>
  <si>
    <t xml:space="preserve">qthe-P09</t>
  </si>
  <si>
    <t xml:space="preserve">pre-tick snapshot double buffer</t>
  </si>
  <si>
    <t xml:space="preserve">Neighbors are always read from the pre-tick grid so in-place update stays synchronous-exact (interpretation receipt R2/R6).</t>
  </si>
  <si>
    <t xml:space="preserve">current cells</t>
  </si>
  <si>
    <t xml:space="preserve">snap copy reused via __scratch</t>
  </si>
  <si>
    <t xml:space="preserve">tick mutates in place and returns the same substrate with synchronous-exact semantics</t>
  </si>
  <si>
    <t xml:space="preserve">qthe.mjs:172-194</t>
  </si>
  <si>
    <t xml:space="preserve">qthe-P10</t>
  </si>
  <si>
    <t xml:space="preserve">Moore-8 branchless real accumulator</t>
  </si>
  <si>
    <t xml:space="preserve">Eight toroidal neighbor reads in fixed order: Attract adds d, Repel subtracts d into the real accumulator; fixed order is what makes the wormhole live-read deterministic.</t>
  </si>
  <si>
    <t xml:space="preserve">snap, x, y</t>
  </si>
  <si>
    <t xml:space="preserve">integer acc in [-504, 504]</t>
  </si>
  <si>
    <t xml:space="preserve">G2 full-tick exhaustion: 3840/3840 cell-updates in bounds with tau preserved</t>
  </si>
  <si>
    <t xml:space="preserve">qthe.mjs:197-214</t>
  </si>
  <si>
    <t xml:space="preserve">qthe-P11</t>
  </si>
  <si>
    <t xml:space="preserve">nextD saturation rule</t>
  </si>
  <si>
    <t xml:space="preserve">Pure rule table: net-positive pressure moves d toward min(d+1, 63), net-negative toward 0, zero leaves d unchanged.</t>
  </si>
  <si>
    <t xml:space="preserve">d, pressure</t>
  </si>
  <si>
    <t xml:space="preserve">new d in [0,63]</t>
  </si>
  <si>
    <t xml:space="preserve">2304/2304 exhausted states x 9 pressures stay in [0,63] (G2a — the Coq theorem restated by exhaustion)</t>
  </si>
  <si>
    <t xml:space="preserve">qthe.mjs:166-170</t>
  </si>
  <si>
    <t xml:space="preserve">qthe-P12</t>
  </si>
  <si>
    <t xml:space="preserve">timbre frozen inside tick</t>
  </si>
  <si>
    <t xml:space="preserve">tau never changes inside tick — timbre is written only by injectors — which keeps the C2 paired arms clean and the byte's only dynamics in d.</t>
  </si>
  <si>
    <t xml:space="preserve">cell byte</t>
  </si>
  <si>
    <t xml:space="preserve">cell byte with identical tau</t>
  </si>
  <si>
    <t xml:space="preserve">G2: tau preserved EXACTLY on 3840/3840 updates</t>
  </si>
  <si>
    <t xml:space="preserve">any tau mutation inside tick would contaminate the paired-arm C2 comparison</t>
  </si>
  <si>
    <t xml:space="preserve">qthe.mjs:163-165, 226</t>
  </si>
  <si>
    <t xml:space="preserve">qthe-P13</t>
  </si>
  <si>
    <t xml:space="preserve">toroidal Moore-8 edges (R1)</t>
  </si>
  <si>
    <t xml:space="preserve">Edges wrap, so every cell has exactly 8 neighbors and the update rule is one uniform table with no boundary special case.</t>
  </si>
  <si>
    <t xml:space="preserve">w, h</t>
  </si>
  <si>
    <t xml:space="preserve">wrap indices (y+h-1)%h, (x+1)%w, ...</t>
  </si>
  <si>
    <t xml:space="preserve">qthe.mjs:18-19, 198-205</t>
  </si>
  <si>
    <t xml:space="preserve">qthe-P14</t>
  </si>
  <si>
    <t xml:space="preserve">determinism contract: no Math.random in the kernel</t>
  </si>
  <si>
    <t xml:space="preserve">mulberry32 exists only as a SEEDED caller-side generator; tick never draws randomness; same substrate + same opts is byte-identical.</t>
  </si>
  <si>
    <t xml:space="preserve">substrate, opts</t>
  </si>
  <si>
    <t xml:space="preserve">deterministic advanced substrate</t>
  </si>
  <si>
    <t xml:space="preserve">G3: two substrates, 1000 ticks, all per-tick trace hashes byte-identical; different seed differs; static scan finds ZERO Math.random in the kernel</t>
  </si>
  <si>
    <t xml:space="preserve">seal</t>
  </si>
  <si>
    <t xml:space="preserve">a nondeterministic tick would void every experiment (determinism or it didn't happen)</t>
  </si>
  <si>
    <t xml:space="preserve">qthe.mjs:10-13, 253-265</t>
  </si>
  <si>
    <t xml:space="preserve">qthe-P15</t>
  </si>
  <si>
    <t xml:space="preserve">traceView canonical serialization</t>
  </si>
  <si>
    <t xml:space="preserve">The single JSON-able view of substrate + table + tick events that G3/G6 hash and the A2UI HUD displays; expandos never enter the view and wormhole STATE is recorded, not the flag (R7).</t>
  </si>
  <si>
    <t xml:space="preserve">cells, events</t>
  </si>
  <si>
    <t xml:space="preserve">{w,h,ticks,cells,wormholes,events}</t>
  </si>
  <si>
    <t xml:space="preserve">an empty table is trace-equivalent to wormholes disabled; paired arms byte-equal with zero Abstain cells (G6/S2)</t>
  </si>
  <si>
    <t xml:space="preserve">R7: on the first G6 run the flag itself leaked into traces — found by the gate and receipted</t>
  </si>
  <si>
    <t xml:space="preserve">qthe.mjs:243-251</t>
  </si>
  <si>
    <t xml:space="preserve">qthe-P16</t>
  </si>
  <si>
    <t xml:space="preserve">paired-arm wormholes flag</t>
  </si>
  <si>
    <t xml:space="preserve">opts.wormholes=false disables table reads AND writes (the OFF arm); without Abstain cells the flag must not leak into dynamics at all.</t>
  </si>
  <si>
    <t xml:space="preserve">opts.wormholes, substrate</t>
  </si>
  <si>
    <t xml:space="preserve">ON/OFF arm pair for C2</t>
  </si>
  <si>
    <t xml:space="preserve">G6/S1: ON-trace != OFF-trace (divergence tick exists); G6/S2: with zero Abstain cells ON === OFF byte-identical at all 200 ticks</t>
  </si>
  <si>
    <t xml:space="preserve">qthe.mjs:175-190; SPEC.md:74</t>
  </si>
  <si>
    <t xml:space="preserve">qthe-P17</t>
  </si>
  <si>
    <t xml:space="preserve">pre-registered gate predictions G0-G6</t>
  </si>
  <si>
    <t xml:space="preserve">Each gate's prediction is written into the test header BEFORE the first run, per house law; the run records observed numbers; exit 0 iff all gates PASS.</t>
  </si>
  <si>
    <t xml:space="preserve">qthe.mjs kernel</t>
  </si>
  <si>
    <t xml:space="preserve">tests/receipt.json verdicts + observed</t>
  </si>
  <si>
    <t xml:space="preserve">honest FAILs stay in the receipt chain, never rewritten</t>
  </si>
  <si>
    <t xml:space="preserve">tests/run_tests.mjs:1-9, 79-80</t>
  </si>
  <si>
    <t xml:space="preserve">qthe-P18</t>
  </si>
  <si>
    <t xml:space="preserve">stone-v1 receipt chain for tests</t>
  </si>
  <si>
    <t xml:space="preserve">A receipt without a chain is a rumor: G1-G6 seal into tests/receipts.jsonl with observed numbers, fully deterministic so a re-run rewrites identical bytes.</t>
  </si>
  <si>
    <t xml:space="preserve">gate results</t>
  </si>
  <si>
    <t xml:space="preserve">receipt.json + receipts.jsonl stone chain</t>
  </si>
  <si>
    <t xml:space="preserve">re-run produces byte-identical receipts</t>
  </si>
  <si>
    <t xml:space="preserve">qthe.mjs:53-54; tests/run_tests.mjs:78-80</t>
  </si>
  <si>
    <t xml:space="preserve">qthe-P19</t>
  </si>
  <si>
    <t xml:space="preserve">honest-FAIL preservation (G4 erratum)</t>
  </si>
  <si>
    <t xml:space="preserve">G4's pre-registered re-literal contained a hand-arithmetic error; the gate FAILS BY LETTER forever and the corrected literal is checked by a post-hoc gate G4-P2 — prediction was wrong, not the kernel; registered gates are never rewritten.</t>
  </si>
  <si>
    <t xml:space="preserve">registered G4 literal</t>
  </si>
  <si>
    <t xml:space="preserve">standing FAIL + erratum + correction gate</t>
  </si>
  <si>
    <t xml:space="preserve">the registered literal is never edited post-registration</t>
  </si>
  <si>
    <t xml:space="preserve">rewriting the registered gate would be tampering with the pre-registration discipline</t>
  </si>
  <si>
    <t xml:space="preserve">tests/run_tests.mjs:38-46</t>
  </si>
  <si>
    <t xml:space="preserve">qthe-P20</t>
  </si>
  <si>
    <t xml:space="preserve">two-reader negative controls</t>
  </si>
  <si>
    <t xml:space="preserve">An independent stdlib-only reader walks registered receipt chains and must fail closed: one flipped byte in every row localizes to exactly that row (49/49), plus missing-file, wrong-tip, unknown-chain and mutated-pin-table refusals.</t>
  </si>
  <si>
    <t xml:space="preserve">registered chains, pin table with seal</t>
  </si>
  <si>
    <t xml:space="preserve">self-test receipt {cases_total:54, escapes:0}</t>
  </si>
  <si>
    <t xml:space="preserve">exit 0 iff every negative control was DETECTED and localized to the correct row</t>
  </si>
  <si>
    <t xml:space="preserve">any escape (tamper passing silently) is the named catastrophe this part exists to refuse</t>
  </si>
  <si>
    <t xml:space="preserve">two_reader/selftest.mjs:6-22; two_reader/verdict.md:1-10</t>
  </si>
  <si>
    <t xml:space="preserve">qthe-P21</t>
  </si>
  <si>
    <t xml:space="preserve">priced empirical claims C1-C5</t>
  </si>
  <si>
    <t xml:space="preserve">Layer-2 claims from the gifted corpus (gain of function, wormhole vs traversal, sigma criticality, phase threshold, self-repair) are pre-registered as paired arms with floors — all OPEN, honest null is a crown jewel.</t>
  </si>
  <si>
    <t xml:space="preserve">paired-arm experiment designs</t>
  </si>
  <si>
    <t xml:space="preserve">claim status table</t>
  </si>
  <si>
    <t xml:space="preserve">a claim that dies dies cheap and honest with the receipt kept beside the body; a claim that lives owes a mechanism-level explanation</t>
  </si>
  <si>
    <t xml:space="preserve">admission</t>
  </si>
  <si>
    <t xml:space="preserve">C3's gifted 'proof' is receipted as decorative (the Gaussian integral yields sigma*sqrt(2pi) for ANY sigma) — only the sweep decides</t>
  </si>
  <si>
    <t xml:space="preserve">SPEC.md:69-81</t>
  </si>
  <si>
    <t xml:space="preserve">qthe-P22</t>
  </si>
  <si>
    <t xml:space="preserve">A2UI telemetry mapping</t>
  </si>
  <si>
    <t xml:space="preserve">The live mirror: pixel = cell, tau=1 green, tau=2 red, tau=0 gray, tau=3 purple blinking on wormhole activity, 6-bit value = intensity, direct buffer-to-canvas, no log files.</t>
  </si>
  <si>
    <t xml:space="preserve">substrate bytes</t>
  </si>
  <si>
    <t xml:space="preserve">canvas pixels</t>
  </si>
  <si>
    <t xml:space="preserve">HUD SHA stable across reload (demo/smoke screenshots receipted)</t>
  </si>
  <si>
    <t xml:space="preserve">SPEC.md:65-67; demo/smoke/smoke.md:17 (checklist item c: HUD sha stable across reloads, cross-runtime MATCH)</t>
  </si>
  <si>
    <t xml:space="preserve">quilt-jepa-P01</t>
  </si>
  <si>
    <t xml:space="preserve">xorshift32 deterministic seed</t>
  </si>
  <si>
    <t xml:space="preserve">The only randomness source: a 32-bit xorshift generator; seed 0 is coerced to the golden-ratio constant so seed space is total.</t>
  </si>
  <si>
    <t xml:space="preserve">u32 seed</t>
  </si>
  <si>
    <t xml:space="preserve">deterministic [0,1) stream</t>
  </si>
  <si>
    <t xml:space="preserve">no Math.random anywhere in core (determinism claim P4 PASS)</t>
  </si>
  <si>
    <t xml:space="preserve">any hidden nondeterminism voids every byte-exact cross-round binding</t>
  </si>
  <si>
    <t xml:space="preserve">core/world.js:6-15</t>
  </si>
  <si>
    <t xml:space="preserve">quilt-jepa-P02</t>
  </si>
  <si>
    <t xml:space="preserve">wave + ball observation field</t>
  </si>
  <si>
    <t xml:space="preserve">A 16x16 luminance field from two phased sinusoids plus a 2x2 ball bump clipped to 1 — the entire observable universe of the world model.</t>
  </si>
  <si>
    <t xml:space="preserve">world state (phases, freq, ball)</t>
  </si>
  <si>
    <t xml:space="preserve">Float32Array 256 luminances in [0,1]</t>
  </si>
  <si>
    <t xml:space="preserve">values are projections in [0,1] (v*0.5+0.5, min(1, ...))</t>
  </si>
  <si>
    <t xml:space="preserve">core/world.js:39-56</t>
  </si>
  <si>
    <t xml:space="preserve">quilt-jepa-P03</t>
  </si>
  <si>
    <t xml:space="preserve">per-cell 4-dim features</t>
  </si>
  <si>
    <t xml:space="preserve">The local observable: [luminance, right-diff, down-diff, luminance-0.5] — the features each cell's encoder reads.</t>
  </si>
  <si>
    <t xml:space="preserve">obs, cell index i</t>
  </si>
  <si>
    <t xml:space="preserve">4-vector f</t>
  </si>
  <si>
    <t xml:space="preserve">core/jepa.js:16-23</t>
  </si>
  <si>
    <t xml:space="preserve">quilt-jepa-P04</t>
  </si>
  <si>
    <t xml:space="preserve">per-cell context encoder Wc</t>
  </si>
  <si>
    <t xml:space="preserve">One 4x4 matrix per cell (Float32Array CELLS*16), xorshift-seeded at scale 0.5; encode maps features to the cell's latent.</t>
  </si>
  <si>
    <t xml:space="preserve">obs features per cell</t>
  </si>
  <si>
    <t xml:space="preserve">context latents z (CELLS x 4)</t>
  </si>
  <si>
    <t xml:space="preserve">core/jepa.js:34-47, 48-56</t>
  </si>
  <si>
    <t xml:space="preserve">quilt-jepa-P05</t>
  </si>
  <si>
    <t xml:space="preserve">per-cell predictor Wp</t>
  </si>
  <si>
    <t xml:space="preserve">One 4x4 matrix per cell predicting the next latent from the current context latent — the JEPA's learned dynamics.</t>
  </si>
  <si>
    <t xml:space="preserve">z_ctx</t>
  </si>
  <si>
    <t xml:space="preserve">z_pred</t>
  </si>
  <si>
    <t xml:space="preserve">core/jepa.js:66-73</t>
  </si>
  <si>
    <t xml:space="preserve">quilt-jepa-P06</t>
  </si>
  <si>
    <t xml:space="preserve">EMA target encoder Wt (stop-gradient)</t>
  </si>
  <si>
    <t xml:space="preserve">Wt = tau*Wt + (1-tau)*Wc with tau=0.999 (later pace-aware), providing the stable target the encoder chases — the law that prevents representation collapse.</t>
  </si>
  <si>
    <t xml:space="preserve">Wc, tau</t>
  </si>
  <si>
    <t xml:space="preserve">Wt target latents</t>
  </si>
  <si>
    <t xml:space="preserve">stationarity drift &lt; 0.01 (claim R2v4 PASS, drift 2.640e-3)</t>
  </si>
  <si>
    <t xml:space="preserve">an unstable target would let the encoder chase itself into collapse</t>
  </si>
  <si>
    <t xml:space="preserve">core/jepa.js:39-46, 110-113</t>
  </si>
  <si>
    <t xml:space="preserve">quilt-jepa-P07</t>
  </si>
  <si>
    <t xml:space="preserve">clipped-SGD trainStep</t>
  </si>
  <si>
    <t xml:space="preserve">One hand-derived step: gradient 2*(zPred - zTgt)/N clipped to [-1,1], backprop through Wp then Wc, returns the loss — plain readable autodiff by hand.</t>
  </si>
  <si>
    <t xml:space="preserve">obs_t, obs_t+1</t>
  </si>
  <si>
    <t xml:space="preserve">updated Wc, Wp, scalar loss L</t>
  </si>
  <si>
    <t xml:space="preserve">learning-sanity ratio 0.34923 == run4 pin, re-bound bit-exact through round 10</t>
  </si>
  <si>
    <t xml:space="preserve">P1_learning honestly FAILED on the easy world (ratio 0.948) in run 1 — kept as the verdict</t>
  </si>
  <si>
    <t xml:space="preserve">core/jepa.js:80-115</t>
  </si>
  <si>
    <t xml:space="preserve">quilt-jepa-P08</t>
  </si>
  <si>
    <t xml:space="preserve">deterministic corruption probe</t>
  </si>
  <si>
    <t xml:space="preserve">corruptWc flips the sign of a seeded fraction of Wc weights — the fault-injection lever for the zero-self-repair and cure-arm experiments.</t>
  </si>
  <si>
    <t xml:space="preserve">fraction, seed</t>
  </si>
  <si>
    <t xml:space="preserve">corrupted Wc, count flipped</t>
  </si>
  <si>
    <t xml:space="preserve">P6_zero_self_repair honestly FAILed in run 1 (jump_ratio 0.979) — the fault was permanent, receipted as design law paid for</t>
  </si>
  <si>
    <t xml:space="preserve">core/jepa.js:123-130; receipts/run.json verdicts</t>
  </si>
  <si>
    <t xml:space="preserve">quilt-jepa-P09</t>
  </si>
  <si>
    <t xml:space="preserve">stride-4 mesh cells</t>
  </si>
  <si>
    <t xml:space="preserve">The mesh substrate: per-cell Float32 stride 4 [luminance, angle, gradient magnitude, latent/surprise energy], double-buffered with an active-side flag.</t>
  </si>
  <si>
    <t xml:space="preserve">obs, energy</t>
  </si>
  <si>
    <t xml:space="preserve">two n*4 buffers</t>
  </si>
  <si>
    <t xml:space="preserve">lambda = 0.2 &lt;= 0.25 stability bound</t>
  </si>
  <si>
    <t xml:space="preserve">lambda above 0.25 would make diffusion diverge</t>
  </si>
  <si>
    <t xml:space="preserve">core/mesh.js:1-17</t>
  </si>
  <si>
    <t xml:space="preserve">quilt-jepa-P10</t>
  </si>
  <si>
    <t xml:space="preserve">Perona-Malik diffusion step</t>
  </si>
  <si>
    <t xml:space="preserve">One pass on channel 3: each cell exchanges energy with 4 neighbors scaled by conductance exp(-((mc-nb)^2)/kappaSq) — flow pools in flat regions and stalls at edges.</t>
  </si>
  <si>
    <t xml:space="preserve">src buffer</t>
  </si>
  <si>
    <t xml:space="preserve">dst buffer (buffers swapped)</t>
  </si>
  <si>
    <t xml:space="preserve">total energy conserved to 1.2e-8 relative (P5 PASS; my scratch rerun measured 0.0 over 10 steps)</t>
  </si>
  <si>
    <t xml:space="preserve">conservation</t>
  </si>
  <si>
    <t xml:space="preserve">any asymmetry in the pairwise exchange would mint or destroy energy</t>
  </si>
  <si>
    <t xml:space="preserve">core/mesh.js:33-55</t>
  </si>
  <si>
    <t xml:space="preserve">quilt-jepa-P11</t>
  </si>
  <si>
    <t xml:space="preserve">variance contraction readout</t>
  </si>
  <si>
    <t xml:space="preserve">totals() folds the active buffer into {total, mean, variance}; the registered law requires variance non-increasing under diffusion.</t>
  </si>
  <si>
    <t xml:space="preserve">active buffer</t>
  </si>
  <si>
    <t xml:space="preserve">{total, mean, variance}</t>
  </si>
  <si>
    <t xml:space="preserve">p5_variance_non_increasing true (receipts/run.json)</t>
  </si>
  <si>
    <t xml:space="preserve">core/mesh.js:56-64</t>
  </si>
  <si>
    <t xml:space="preserve">quilt-jepa-P12</t>
  </si>
  <si>
    <t xml:space="preserve">surprise sampling policy</t>
  </si>
  <si>
    <t xml:space="preserve">surprise(sampleIdx) is mean |energy| over chosen cells — upgraded across rounds to percentile-z concentration statistics rather than global means (design law (b): diluted mean-surprise was the root cause of run-1's anomaly FAIL).</t>
  </si>
  <si>
    <t xml:space="preserve">energy channel, sample indices</t>
  </si>
  <si>
    <t xml:space="preserve">scalar surprise / z-concentration</t>
  </si>
  <si>
    <t xml:space="preserve">R3v4 z-conc 3.5407 &gt; 3.0 (PASS, carried)</t>
  </si>
  <si>
    <t xml:space="preserve">global mean-surprise diluted the anomaly signal — the honest FAIL that forced law (b)</t>
  </si>
  <si>
    <t xml:space="preserve">core/mesh.js:65-70; README.md:26-28</t>
  </si>
  <si>
    <t xml:space="preserve">quilt-jepa-P13</t>
  </si>
  <si>
    <t xml:space="preserve">registration seal (masked self-sha + mtime)</t>
  </si>
  <si>
    <t xml:space="preserve">Claims are sealed into registration.json BEFORE runs: the file hashes itself with its own sha field masked; the verifier recomputes and also binds the file mtime within 2s.</t>
  </si>
  <si>
    <t xml:space="preserve">registration.json bytes, stat mtime</t>
  </si>
  <si>
    <t xml:space="preserve">seal verdict</t>
  </si>
  <si>
    <t xml:space="preserve">masked self-sha recomputes exactly AND |mtime - sealed| &lt;= 2000ms else fail-closed</t>
  </si>
  <si>
    <t xml:space="preserve">file mutated after seal -&gt; 'FAIL registration self-sha mismatch (file mutated after seal)'</t>
  </si>
  <si>
    <t xml:space="preserve">verify.mjs:32-43</t>
  </si>
  <si>
    <t xml:space="preserve">quilt-jepa-P14</t>
  </si>
  <si>
    <t xml:space="preserve">stone chain walk from GENESIS</t>
  </si>
  <si>
    <t xml:space="preserve">Every receipt row hashes as sha(prev : canonical{i,id,type,payload} : id); the verifier re-derives the whole chain from the JEPA-GENESIS-1 constant and demands the tip match.</t>
  </si>
  <si>
    <t xml:space="preserve">receipts/run.json</t>
  </si>
  <si>
    <t xml:space="preserve">chain verdict + tip</t>
  </si>
  <si>
    <t xml:space="preserve">every row re-hashes to its pin, links parent-correct, tip equal; exit 0 only if everything re-hashes</t>
  </si>
  <si>
    <t xml:space="preserve">'FAIL hash mismatch at row N' names the tampered row</t>
  </si>
  <si>
    <t xml:space="preserve">verify.mjs:12-30</t>
  </si>
  <si>
    <t xml:space="preserve">quilt-jepa-P15</t>
  </si>
  <si>
    <t xml:space="preserve">fail-closed startup seal re-verification</t>
  </si>
  <si>
    <t xml:space="preserve">The run itself re-verifies the registration seal at startup and refuses to execute otherwise; the verdict is recorded in the receipt (seal_verified_at_startup).</t>
  </si>
  <si>
    <t xml:space="preserve">registration-v10.json at run time</t>
  </si>
  <si>
    <t xml:space="preserve">refusal or execution</t>
  </si>
  <si>
    <t xml:space="preserve">seal verified at startup, else the run refuses</t>
  </si>
  <si>
    <t xml:space="preserve">running against a mutated registration would decouple claims from measurements</t>
  </si>
  <si>
    <t xml:space="preserve">run10.mjs:24-26; verdict-v10.md:3-5</t>
  </si>
  <si>
    <t xml:space="preserve">quilt-jepa-P16</t>
  </si>
  <si>
    <t xml:space="preserve">bit-exact cross-round re-binding</t>
  </si>
  <si>
    <t xml:space="preserve">Every round 4..9 metric must reproduce its round's receipt bit-exactly at sha level (run4 29/29, run5 92/92, design6/run6..run9 identities); the R4 twin executions are byte-identical (sha_round10_run1 == run2).</t>
  </si>
  <si>
    <t xml:space="preserve">carried receipts, fresh execution</t>
  </si>
  <si>
    <t xml:space="preserve">re-bound shas in the R4 row</t>
  </si>
  <si>
    <t xml:space="preserve">any sha mismatch fails the run — the operating point (lr 0.3, tau 0.99998, K4, amp, seed) is UNCHANGED or the round is void</t>
  </si>
  <si>
    <t xml:space="preserve">a core arithmetic change would break ten rounds of pinned shas</t>
  </si>
  <si>
    <t xml:space="preserve">run10.mjs:2-19; verdict-v10.md:26-28</t>
  </si>
  <si>
    <t xml:space="preserve">quilt-jepa-P17</t>
  </si>
  <si>
    <t xml:space="preserve">honest-FAIL verdicts carried forward</t>
  </si>
  <si>
    <t xml:space="preserve">DOSE10, SAT10, DIP10 are scored FAIL on pre-priced branches; the round-8 MECH FAIL and round-9 CURE9/DIP9 FAILs carry — 22/28 with the failures in the scorecard, not footnotes.</t>
  </si>
  <si>
    <t xml:space="preserve">claim scorecard rules</t>
  </si>
  <si>
    <t xml:space="preserve">verdict fields (28 keys, 22 true)</t>
  </si>
  <si>
    <t xml:space="preserve">claims_passed reported as measured, never rounded up</t>
  </si>
  <si>
    <t xml:space="preserve">verdict-v10.md:25-31</t>
  </si>
  <si>
    <t xml:space="preserve">quilt-jepa-P18</t>
  </si>
  <si>
    <t xml:space="preserve">browser demo labeled DESIGN-ONLY</t>
  </si>
  <si>
    <t xml:space="preserve">demo/index.html is a WebGPU/WGSL visualization of the same architecture, explicitly never executed headless and never cited as evidence — the interface/artifact boundary is receipted in the README.</t>
  </si>
  <si>
    <t xml:space="preserve">architecture design</t>
  </si>
  <si>
    <t xml:space="preserve">browser visualization</t>
  </si>
  <si>
    <t xml:space="preserve">DESIGN/DEMO ONLY — no headless execution claim</t>
  </si>
  <si>
    <t xml:space="preserve">citing the demo as a verified result would be LARP</t>
  </si>
  <si>
    <t xml:space="preserve">README.md:22</t>
  </si>
  <si>
    <t xml:space="preserve">jev-quilt-P01</t>
  </si>
  <si>
    <t xml:space="preserve">cell identity law</t>
  </si>
  <si>
    <t xml:space="preserve">coord must be a tuple of two integers (k, s); anything else raises TypeError at construction — identity never floats (Law 1).</t>
  </si>
  <si>
    <t xml:space="preserve">name, coord</t>
  </si>
  <si>
    <t xml:space="preserve">Cell (or TypeError)</t>
  </si>
  <si>
    <t xml:space="preserve">non-integer or non-pair coord is refused at __post_init__</t>
  </si>
  <si>
    <t xml:space="preserve">a float coordinate would silently create an unfoundable identity</t>
  </si>
  <si>
    <t xml:space="preserve">jev_quilt/cell.py:37-54</t>
  </si>
  <si>
    <t xml:space="preserve">jev-quilt-P02</t>
  </si>
  <si>
    <t xml:space="preserve">Hook subscription primitive</t>
  </si>
  <si>
    <t xml:space="preserve">A frozen Hook names a source cell, fires on delta, carries a DEADBAND token or a Q16 magnitude floor, and an optional when-predicate on the emitted state (the touch-shallow gate).</t>
  </si>
  <si>
    <t xml:space="preserve">source, floor, when</t>
  </si>
  <si>
    <t xml:space="preserve">subscription object</t>
  </si>
  <si>
    <t xml:space="preserve">jev_quilt/cell.py:16-26</t>
  </si>
  <si>
    <t xml:space="preserve">jev-quilt-P03</t>
  </si>
  <si>
    <t xml:space="preserve">Projection declaration</t>
  </si>
  <si>
    <t xml:space="preserve">Outputs are declared edges (to, as_type): json | coefficient | choice | bytes — this cell renders, another cell decides; types are declared at the edge (Law 3).</t>
  </si>
  <si>
    <t xml:space="preserve">decision</t>
  </si>
  <si>
    <t xml:space="preserve">typed payload on a named surface</t>
  </si>
  <si>
    <t xml:space="preserve">jev_quilt/cell.py:29-35</t>
  </si>
  <si>
    <t xml:space="preserve">jev-quilt-P04</t>
  </si>
  <si>
    <t xml:space="preserve">binary viability floor</t>
  </si>
  <si>
    <t xml:space="preserve">A decision may LINK/project only above the floor: default viability is confidence &gt; 0.0; pure difference without viability collapses into dada noise (Law 5).</t>
  </si>
  <si>
    <t xml:space="preserve">decision (with confidence)</t>
  </si>
  <si>
    <t xml:space="preserve">viable bool</t>
  </si>
  <si>
    <t xml:space="preserve">confidence is None -&gt; viable; else confidence &gt; 0.0 required</t>
  </si>
  <si>
    <t xml:space="preserve">below-floor decisions are booked as REJECTED, never projected</t>
  </si>
  <si>
    <t xml:space="preserve">jev_quilt/cell.py:56-62</t>
  </si>
  <si>
    <t xml:space="preserve">jev-quilt-P05</t>
  </si>
  <si>
    <t xml:space="preserve">Q16 exact rational</t>
  </si>
  <si>
    <t xml:space="preserve">Identity arithmetic on (num, den): always reduced coprime, negative denominators normalized, zero denominator raises — the same codec as the fleet's lattice kernel.</t>
  </si>
  <si>
    <t xml:space="preserve">num:int, den:int</t>
  </si>
  <si>
    <t xml:space="preserve">exact Q16 with exact +, -, *</t>
  </si>
  <si>
    <t xml:space="preserve">den == 0 raises ZeroDivisionError; gcd reduction is an invariant</t>
  </si>
  <si>
    <t xml:space="preserve">jev_quilt/q16.py:14-45</t>
  </si>
  <si>
    <t xml:space="preserve">jev-quilt-P06</t>
  </si>
  <si>
    <t xml:space="preserve">from_float projection refusal</t>
  </si>
  <si>
    <t xml:space="preserve">Projection INTO the lattice: a float becomes Q16 only if num/SCALE reproduces it within 1e-12; anything else is refused — never silently rounded identity.</t>
  </si>
  <si>
    <t xml:space="preserve">float f</t>
  </si>
  <si>
    <t xml:space="preserve">Q16(num, 10^6) or ValueError</t>
  </si>
  <si>
    <t xml:space="preserve">|num/SCALE - f| &gt; 1e-12 -&gt; ValueError</t>
  </si>
  <si>
    <t xml:space="preserve">silent rounding would corrupt every downstream exact decision</t>
  </si>
  <si>
    <t xml:space="preserve">jev_quilt/q16.py:22-28</t>
  </si>
  <si>
    <t xml:space="preserve">jev-quilt-P07</t>
  </si>
  <si>
    <t xml:space="preserve">deadband floor check</t>
  </si>
  <si>
    <t xml:space="preserve">A hook wakes only if |delta| &gt;= floor; the DEADBAND token or None floor means no filtering; magnitudes are exact Q16.</t>
  </si>
  <si>
    <t xml:space="preserve">hook.floor, delta</t>
  </si>
  <si>
    <t xml:space="preserve">passes_floor bool</t>
  </si>
  <si>
    <t xml:space="preserve">mag &gt;= floor else silent_deadband</t>
  </si>
  <si>
    <t xml:space="preserve">jev_quilt/engine.py:67-74</t>
  </si>
  <si>
    <t xml:space="preserve">jev-quilt-P08</t>
  </si>
  <si>
    <t xml:space="preserve">unmeasurable deltas wake (honest default)</t>
  </si>
  <si>
    <t xml:space="preserve">A delta with no extractable Q16 magnitude always wakes the hook — fail-open for unmeasurable shapes, the opposite of silently dropping what you can't measure.</t>
  </si>
  <si>
    <t xml:space="preserve">delta</t>
  </si>
  <si>
    <t xml:space="preserve">None magnitude -&gt; wake</t>
  </si>
  <si>
    <t xml:space="preserve">mag is None -&gt; return True</t>
  </si>
  <si>
    <t xml:space="preserve">the named risk is noise amplification, accepted and receipted as the honest default</t>
  </si>
  <si>
    <t xml:space="preserve">jev_quilt/engine.py:70-72</t>
  </si>
  <si>
    <t xml:space="preserve">jev-quilt-P09</t>
  </si>
  <si>
    <t xml:space="preserve">emit fanout with logged silence</t>
  </si>
  <si>
    <t xml:space="preserve">emit(source, delta, state) walks every hooked subscriber: below-floor/declining hooks are logged as WakeResult(woke=False, reason='silent_deadband'), others wake — silence is a recorded outcome, never an absence.</t>
  </si>
  <si>
    <t xml:space="preserve">source delta, state</t>
  </si>
  <si>
    <t xml:space="preserve">list[WakeResult]</t>
  </si>
  <si>
    <t xml:space="preserve">every hooked cell gets exactly one WakeResult per emit</t>
  </si>
  <si>
    <t xml:space="preserve">jev_quilt/engine.py:76-91</t>
  </si>
  <si>
    <t xml:space="preserve">jev-quilt-P10</t>
  </si>
  <si>
    <t xml:space="preserve">broken predicate fail-open</t>
  </si>
  <si>
    <t xml:space="preserve">A when-predicate that raises must NOT silence the fabric: the exception is caught and the hook wakes — the failure direction is chosen explicitly.</t>
  </si>
  <si>
    <t xml:space="preserve">hook.when(state)</t>
  </si>
  <si>
    <t xml:space="preserve">bool (True on exception)</t>
  </si>
  <si>
    <t xml:space="preserve">exception -&gt; wake (never drop)</t>
  </si>
  <si>
    <t xml:space="preserve">an exception inside a predicate silently starving cells is the named catastrophe</t>
  </si>
  <si>
    <t xml:space="preserve">jev_quilt/engine.py:93-100</t>
  </si>
  <si>
    <t xml:space="preserve">jev-quilt-P11</t>
  </si>
  <si>
    <t xml:space="preserve">wake = replay book, then decide</t>
  </si>
  <si>
    <t xml:space="preserve">A cell woken by a delta first replays its bookkeeper (wake_state catch-up) before any decision — Law 4: replay equals live.</t>
  </si>
  <si>
    <t xml:space="preserve">bookkeeper, delta</t>
  </si>
  <si>
    <t xml:space="preserve">caught-up state, then decision</t>
  </si>
  <si>
    <t xml:space="preserve">wake_state() precedes backend resolution in _wake</t>
  </si>
  <si>
    <t xml:space="preserve">deciding on a stale book would fork the cell from its own history</t>
  </si>
  <si>
    <t xml:space="preserve">jev_quilt/engine.py:102-104</t>
  </si>
  <si>
    <t xml:space="preserve">jev-quilt-P12</t>
  </si>
  <si>
    <t xml:space="preserve">predictor pre-commit (feeling under the ledger)</t>
  </si>
  <si>
    <t xml:space="preserve">If the cell carries a predictor, it predicts BEFORE deciding, so the booked receipt binds feeling and fact in one hash — JEPA's slot, v0 the exact MeanPredictor.</t>
  </si>
  <si>
    <t xml:space="preserve">cell.predictor</t>
  </si>
  <si>
    <t xml:space="preserve">pre-committed prediction in the receipt</t>
  </si>
  <si>
    <t xml:space="preserve">predictor exception -&gt; pred=None (feeling is optional, never fatal)</t>
  </si>
  <si>
    <t xml:space="preserve">jev_quilt/engine.py:106-115</t>
  </si>
  <si>
    <t xml:space="preserve">jev-quilt-P13</t>
  </si>
  <si>
    <t xml:space="preserve">backend resolution ladder</t>
  </si>
  <si>
    <t xml:space="preserve">resolve_backend maps auto -&gt; q16 (always available) -&gt; openjev-local (if reachable) -&gt; typesafe-api (if TYPESAFE_API_KEY): exactness first, cloud last.</t>
  </si>
  <si>
    <t xml:space="preserve">cell.backend</t>
  </si>
  <si>
    <t xml:space="preserve">concrete BackendDecision source</t>
  </si>
  <si>
    <t xml:space="preserve">unknown backend refused at Cell construction</t>
  </si>
  <si>
    <t xml:space="preserve">jev_quilt/engine.py:53-56; jev_quilt/cell.py:53-54</t>
  </si>
  <si>
    <t xml:space="preserve">jev-quilt-P14</t>
  </si>
  <si>
    <t xml:space="preserve">Bookkeeper append-only WAL</t>
  </si>
  <si>
    <t xml:space="preserve">Per-cell append-only log of Receipt(tick, state_hash, delta_hash, decision_kind, payload_hash, payload) — the memory is the book; registration wires one per cell (or the honest NullBookkeeper).</t>
  </si>
  <si>
    <t xml:space="preserve">tick, state hash, delta, decision</t>
  </si>
  <si>
    <t xml:space="preserve">appended Receipt</t>
  </si>
  <si>
    <t xml:space="preserve">replay == live (suite test_replay_determinism)</t>
  </si>
  <si>
    <t xml:space="preserve">jev_quilt/bookkeeper.py:46-53; jev_quilt/engine.py:48-51</t>
  </si>
  <si>
    <t xml:space="preserve">jev-quilt-P15</t>
  </si>
  <si>
    <t xml:space="preserve">fnv1a-64 over UTF-8 bytes</t>
  </si>
  <si>
    <t xml:space="preserve">The shared hash: raw BYTES (never str iteration/ord()) so a Rust receipt and a Python receipt for the same residue agree, non-ASCII included — the same algorithm as the rate limiter, hermit WAL and Rust substrate.</t>
  </si>
  <si>
    <t xml:space="preserve">bytes</t>
  </si>
  <si>
    <t xml:space="preserve">64-bit hash</t>
  </si>
  <si>
    <t xml:space="preserve">cross-language agreement on identical residues (fnv1a reference-vector suite)</t>
  </si>
  <si>
    <t xml:space="preserve">hashing str directly would fork Python from Rust receipts</t>
  </si>
  <si>
    <t xml:space="preserve">jev_quilt/bookkeeper.py:33-43</t>
  </si>
  <si>
    <t xml:space="preserve">jev-quilt-P16</t>
  </si>
  <si>
    <t xml:space="preserve">receipt sha binds the residue text</t>
  </si>
  <si>
    <t xml:space="preserve">sha() re-derives payload_hash from the retained payload when present, so editing the payload alone breaks replay; empty payload keeps the historical formula — back-compat pinned byte-for-byte.</t>
  </si>
  <si>
    <t xml:space="preserve">Receipt fields, payload</t>
  </si>
  <si>
    <t xml:space="preserve">chain hash over tick|state|delta|kind|payload_hash</t>
  </si>
  <si>
    <t xml:space="preserve">payload edit without hash edit -&gt; replay mismatch (tamper is loud)</t>
  </si>
  <si>
    <t xml:space="preserve">jev_quilt/bookkeeper.py:86-100</t>
  </si>
  <si>
    <t xml:space="preserve">jev-quilt-P17</t>
  </si>
  <si>
    <t xml:space="preserve">typed uncapped decision fields (G20a)</t>
  </si>
  <si>
    <t xml:space="preserve">Decision-bearing identity (dispatch_id, runner, key, correct, base_verdict, answer) rides as real dataclass fields, never JSON, never sliced by the 200-char payload render budget — identity never floats even in the book.</t>
  </si>
  <si>
    <t xml:space="preserve">typed decision fields</t>
  </si>
  <si>
    <t xml:space="preserve">\x1f-delimited canonical decision_bytes extending the sha preimage only when set</t>
  </si>
  <si>
    <t xml:space="preserve">all-None fields -&gt; empty bytes -&gt; historical preimage byte-identical (additive pin change only)</t>
  </si>
  <si>
    <t xml:space="preserve">a render budget evicting a dispatch id would break routing accountability (the C9 fail-open class)</t>
  </si>
  <si>
    <t xml:space="preserve">jev_quilt/bookkeeper.py:55-84</t>
  </si>
  <si>
    <t xml:space="preserve">jev-quilt-P18</t>
  </si>
  <si>
    <t xml:space="preserve">book() refuses what it cannot carry exactly</t>
  </si>
  <si>
    <t xml:space="preserve">A booking with a non-str/bool typed field, or a value containing the reserved \x1f delimiter, raises rather than silently rounds (Law 6 clause iii: booked = foldable).</t>
  </si>
  <si>
    <t xml:space="preserve">book() call</t>
  </si>
  <si>
    <t xml:space="preserve">Receipt or raise</t>
  </si>
  <si>
    <t xml:space="preserve">raise-on-unrepresentable beats round-and-continue</t>
  </si>
  <si>
    <t xml:space="preserve">silent rounding of a decision field is exactly the fail-open class G20a closed</t>
  </si>
  <si>
    <t xml:space="preserve">jev_quilt/bookkeeper.py:13-17</t>
  </si>
  <si>
    <t xml:space="preserve">jev-quilt-P19</t>
  </si>
  <si>
    <t xml:space="preserve">NullBookkeeper honesty</t>
  </si>
  <si>
    <t xml:space="preserve">Cells with bookkeeper=False still decide — they just forget: book() no-ops, replay() returns None, verify() returns True, wake_state reports zero booked ticks; forgetting is a declared mode, not a silent omission.</t>
  </si>
  <si>
    <t xml:space="preserve">cell.bookkeeper flag</t>
  </si>
  <si>
    <t xml:space="preserve">forgetting backend</t>
  </si>
  <si>
    <t xml:space="preserve">wake_state honestly reports booked_ticks: 0, chain: None</t>
  </si>
  <si>
    <t xml:space="preserve">a pretending bookkeeper (fake verify) would be worse than an empty one</t>
  </si>
  <si>
    <t xml:space="preserve">jev_quilt/engine.py:21-26</t>
  </si>
  <si>
    <t xml:space="preserve">jev-quilt-P20</t>
  </si>
  <si>
    <t xml:space="preserve">polyformal ports with honest verification labels</t>
  </si>
  <si>
    <t xml:space="preserve">The five laws re-exist in Rust (exact Q16 with no float constructor, overflow = None refusal, fnv1a-chained bookkeeper — 13 cargo tests green per README), Mercury (chain_valid/2, labeled UNVERIFIED — no mmc) and Haskell (phantom-typed Lattice/Proj, UNVERIFIED — no ghc): one substrate, several tongues, each labeled with its actual verification status.</t>
  </si>
  <si>
    <t xml:space="preserve">kernel semantics</t>
  </si>
  <si>
    <t xml:space="preserve">Rust / Mercury / Haskell sources</t>
  </si>
  <si>
    <t xml:space="preserve">UNVERIFIED is printed where no toolchain ran — do not write counts, run the suites</t>
  </si>
  <si>
    <t xml:space="preserve">claiming unverified ports as tested would violate the house law</t>
  </si>
  <si>
    <t xml:space="preserve">README.md:194-203</t>
  </si>
  <si>
    <t xml:space="preserve">quilt-qcells-P01</t>
  </si>
  <si>
    <t xml:space="preserve">primitive inventory + sugar decomposition at append</t>
  </si>
  <si>
    <t xml:space="preserve">Exactly nine primitive ops {init, m, x, h, rx, rz, cx, crx, swap} may enter a ledger; y/z/ry/t sugar decomposes at append time and NEVER enters (SUGAR_OPS is the refusal set).</t>
  </si>
  <si>
    <t xml:space="preserve">op calls on CellCircuit</t>
  </si>
  <si>
    <t xml:space="preserve">primitive rows only</t>
  </si>
  <si>
    <t xml:space="preserve">P2: only primitive ops in BIND rows across all 16 ledgers</t>
  </si>
  <si>
    <t xml:space="preserve">a sugar op in a ledger would break the replay contract</t>
  </si>
  <si>
    <t xml:space="preserve">qcells.py:108-111, 516-525</t>
  </si>
  <si>
    <t xml:space="preserve">quilt-qcells-P02</t>
  </si>
  <si>
    <t xml:space="preserve">canonical JSON encoding (C1)</t>
  </si>
  <si>
    <t xml:space="preserve">json.dumps(sort_keys=True, separators, ensure_ascii) as UTF-8 — stable, portable, diffable; every non-canonical byte is a parse refusal.</t>
  </si>
  <si>
    <t xml:space="preserve">row dict</t>
  </si>
  <si>
    <t xml:space="preserve">canonical bytes</t>
  </si>
  <si>
    <t xml:space="preserve">parse_ledger: canon(obj) != line -&gt; 'row %d is not in canonical form'</t>
  </si>
  <si>
    <t xml:space="preserve">qcells.py:127-130, 336-350</t>
  </si>
  <si>
    <t xml:space="preserve">quilt-qcells-P03</t>
  </si>
  <si>
    <t xml:space="preserve">row shape + id derivation (C2)</t>
  </si>
  <si>
    <t xml:space="preserve">Row = {seq, op, kind, args, prev}; id = fnv1a-64 over the canonical body WITHOUT the id field; exported JSONL lines are self-contained and independently recomputable.</t>
  </si>
  <si>
    <t xml:space="preserve">seq, op, kind, args, prev</t>
  </si>
  <si>
    <t xml:space="preserve">row id (16 hex chars)</t>
  </si>
  <si>
    <t xml:space="preserve">id mismatch -&gt; 'content tampered or id forged' at that row</t>
  </si>
  <si>
    <t xml:space="preserve">qcells.py:137-140, 382-385</t>
  </si>
  <si>
    <t xml:space="preserve">quilt-qcells-P04</t>
  </si>
  <si>
    <t xml:space="preserve">single linear chain from genesis (C3)</t>
  </si>
  <si>
    <t xml:space="preserve">One chain over ALL rows in append order (the only reading satisfying both the gate-sub-chain pin and the PROOF-section pin without forking); genesis prev = 0x0000000000000000 per fleet WAL convention.</t>
  </si>
  <si>
    <t xml:space="preserve">rows</t>
  </si>
  <si>
    <t xml:space="preserve">prev-linked chain</t>
  </si>
  <si>
    <t xml:space="preserve">verify_ledger walks prev == running id from GENESIS; break named at the exact row</t>
  </si>
  <si>
    <t xml:space="preserve">a forked or edited chain breaks every downstream link by construction</t>
  </si>
  <si>
    <t xml:space="preserve">qcells.py:28-33, 99-106, 365-391</t>
  </si>
  <si>
    <t xml:space="preserve">quilt-qcells-P05</t>
  </si>
  <si>
    <t xml:space="preserve">fnv1a-64 (C4)</t>
  </si>
  <si>
    <t xml:space="preserve">Standard FNV-1a 64-bit (offset 0xcbf29ce484222325, prime 0x100000001b3), lowercase 16-hex rendering — the fleet's WAL hash.</t>
  </si>
  <si>
    <t xml:space="preserve">64-bit hash string</t>
  </si>
  <si>
    <t xml:space="preserve">qcells.py:118-124</t>
  </si>
  <si>
    <t xml:space="preserve">quilt-qcells-P06</t>
  </si>
  <si>
    <t xml:space="preserve">LINK boundary row with simulator pin</t>
  </si>
  <si>
    <t xml:space="preserve">One circuit-boundary cell at open carries (circuit, simulator pin, shots plan); the pin is sha256 of the vendored micromoth.py because the module exposes no version — the oracle itself is bound into the ledger.</t>
  </si>
  <si>
    <t xml:space="preserve">num_qubits, num_clbits, name, shots_plan, simulator_sha256</t>
  </si>
  <si>
    <t xml:space="preserve">LINK row</t>
  </si>
  <si>
    <t xml:space="preserve">conformance refuses if vendored micromoth.py sha256 != pinned bbd10ac2... (fail-closed)</t>
  </si>
  <si>
    <t xml:space="preserve">a silently swapped oracle would invalidate every replay comparison</t>
  </si>
  <si>
    <t xml:space="preserve">qcells.py:37-40, 148-160; conformance.py:54, 125-127</t>
  </si>
  <si>
    <t xml:space="preserve">quilt-qcells-P07</t>
  </si>
  <si>
    <t xml:space="preserve">BIND gate rows from actual circuit tuples</t>
  </si>
  <si>
    <t xml:space="preserve">Every gate application emits a BIND {kind:gate, args:{op, qubits, theta?}} derived from the wrapped circuit's real data tuples (sync-based emission), so the ledger is faithful to the circuit by construction; init is a BIND with its payload pinned by sha256, never inlined into VIEWs.</t>
  </si>
  <si>
    <t xml:space="preserve">wrapped QuantumCircuit data</t>
  </si>
  <si>
    <t xml:space="preserve">BIND rows</t>
  </si>
  <si>
    <t xml:space="preserve">emission happens on _sync from qc.data — no parallel hand-maintained history</t>
  </si>
  <si>
    <t xml:space="preserve">a hand-written row diverging from the circuit would fail P1 replay equality</t>
  </si>
  <si>
    <t xml:space="preserve">qcells.py:41-44, 459-479</t>
  </si>
  <si>
    <t xml:space="preserve">quilt-qcells-P08</t>
  </si>
  <si>
    <t xml:space="preserve">TICK layering (qubit-disjoint greedy)</t>
  </si>
  <si>
    <t xml:space="preserve">The gate chain is partitioned into qubit-disjoint layers in append order; a TICK closes each layer; depth = number of TICKs; TICK is monotonic — rows append even when the state returns home (the x*x nuance).</t>
  </si>
  <si>
    <t xml:space="preserve">gate rows</t>
  </si>
  <si>
    <t xml:space="preserve">TICK rows, depth</t>
  </si>
  <si>
    <t xml:space="preserve">TICK tracks BIND gate rows only ('m' readouts are records, not gates)</t>
  </si>
  <si>
    <t xml:space="preserve">qcells.py:57-63, 230-247</t>
  </si>
  <si>
    <t xml:space="preserve">quilt-qcells-P09</t>
  </si>
  <si>
    <t xml:space="preserve">EFFECT readout vs collapse split</t>
  </si>
  <si>
    <t xml:space="preserve">The honest event split, receipted: (a) readout = the ('m', q, b) primitive — records wiring, mutates nothing, never collapses; (b) collapse = one cell per shot outcome {shot, outcome, seed}, minted only at sampling.</t>
  </si>
  <si>
    <t xml:space="preserve">measure calls, shot outcomes</t>
  </si>
  <si>
    <t xml:space="preserve">EFFECT rows of kind readout | collapse</t>
  </si>
  <si>
    <t xml:space="preserve">readout rows never mutate gate cells</t>
  </si>
  <si>
    <t xml:space="preserve">calling 'm' a collapse would be physics LARP receipted as dishonest</t>
  </si>
  <si>
    <t xml:space="preserve">qcells.py:45-53</t>
  </si>
  <si>
    <t xml:space="preserve">quilt-qcells-P10</t>
  </si>
  <si>
    <t xml:space="preserve">unsealed sampling is minted UNSEALED and excluded</t>
  </si>
  <si>
    <t xml:space="preserve">seed=null collapse rows are EFFECT/UNSEALED — the design's honest determinism hole: they are kept, labeled, and excluded from every determinism claim, and their disagreement is itself a proven negative control (4 unsealed runs disagree).</t>
  </si>
  <si>
    <t xml:space="preserve">sampling without seed</t>
  </si>
  <si>
    <t xml:space="preserve">EFFECT/UNSEALED rows</t>
  </si>
  <si>
    <t xml:space="preserve">determinism claims (P4) cover only the 15/15 sealed circuits</t>
  </si>
  <si>
    <t xml:space="preserve">claiming determinism over unseeded sampling would be the named lie</t>
  </si>
  <si>
    <t xml:space="preserve">qcells.py:50-53; README.md:50-52; verdict.md P4 (15/15 sealed)</t>
  </si>
  <si>
    <t xml:space="preserve">quilt-qcells-P11</t>
  </si>
  <si>
    <t xml:space="preserve">VIEW records the view, digest only</t>
  </si>
  <si>
    <t xml:space="preserve">A VIEW row records which view was taken (get, digest, shots?, seed?, counts?); statevector and probabilities are never inlined — only their digests.</t>
  </si>
  <si>
    <t xml:space="preserve">view call + digest</t>
  </si>
  <si>
    <t xml:space="preserve">VIEW row</t>
  </si>
  <si>
    <t xml:space="preserve">view digests re-derive by replay (P1)</t>
  </si>
  <si>
    <t xml:space="preserve">qcells.py:54-56, 274-280</t>
  </si>
  <si>
    <t xml:space="preserve">quilt-qcells-P12</t>
  </si>
  <si>
    <t xml:space="preserve">PROOF rounded-amplitude witness</t>
  </si>
  <si>
    <t xml:space="preserve">A PROOF row is a statevector witness at the current TICK: amplitude pairs rounded to declared precision, sha256-pinned as a digest, verifiable by replay — exact-amplitude witnesses are honestly NOT claimed.</t>
  </si>
  <si>
    <t xml:space="preserve">statevector, precision</t>
  </si>
  <si>
    <t xml:space="preserve">PROOF row {precision, digest}</t>
  </si>
  <si>
    <t xml:space="preserve">sha256(canon(rounded)) == row digest</t>
  </si>
  <si>
    <t xml:space="preserve">digest-pinned witnesses prove replay equality, not exact amplitudes (receipted limit)</t>
  </si>
  <si>
    <t xml:space="preserve">qcells.py:64-66, 281-287; README.md:48-49</t>
  </si>
  <si>
    <t xml:space="preserve">quilt-qcells-P13</t>
  </si>
  <si>
    <t xml:space="preserve">FORGET tombstone append</t>
  </si>
  <si>
    <t xml:space="preserve">Erasure is a receipt, not an excision: the FORGET row names erased collapse ids; the chain is never edited (deleting rows would break every downstream link and make the ledger lie about its own history).</t>
  </si>
  <si>
    <t xml:space="preserve">collapse rows to erase, reason</t>
  </si>
  <si>
    <t xml:space="preserve">FORGET row</t>
  </si>
  <si>
    <t xml:space="preserve">forget with nothing pending raises LedgerError (refusing an empty erasure receipt)</t>
  </si>
  <si>
    <t xml:space="preserve">physical excision would destroy the tamper-evidence the mapping exists for</t>
  </si>
  <si>
    <t xml:space="preserve">qcells.py:67-76, 288-306</t>
  </si>
  <si>
    <t xml:space="preserve">quilt-qcells-P14</t>
  </si>
  <si>
    <t xml:space="preserve">serving surface filters tombstones</t>
  </si>
  <si>
    <t xml:space="preserve">collapse_records(serve=True) returns non-tombstoned collapse rows: counts stay retained (VIEW), individual shots become FORGET-table — retrieval semantics layered over an immutable chain.</t>
  </si>
  <si>
    <t xml:space="preserve">collapse rows, FORGET set</t>
  </si>
  <si>
    <t xml:space="preserve">served records</t>
  </si>
  <si>
    <t xml:space="preserve">tombstoned ids filtered when serve=True</t>
  </si>
  <si>
    <t xml:space="preserve">qcells.py:308-319</t>
  </si>
  <si>
    <t xml:space="preserve">quilt-qcells-P15</t>
  </si>
  <si>
    <t xml:space="preserve">verify_ledger fail-closed localization</t>
  </si>
  <si>
    <t xml:space="preserve">Recompute the fnv1a-64 chain from genesis over exported bytes; return (False, seq, reason) on the FIRST violated row — content tamper, forged id, prev break, sequence break, non-canonical form, unknown opcode, truncation.</t>
  </si>
  <si>
    <t xml:space="preserve">ledger bytes</t>
  </si>
  <si>
    <t xml:space="preserve">(ok, bad_seq, reason)</t>
  </si>
  <si>
    <t xml:space="preserve">P3: single-byte tamper of 4254/4254 rows (id-flip, kind-flip, prev-flip x every row of every ledger) detected at exactly the tampered row</t>
  </si>
  <si>
    <t xml:space="preserve">qcells.py:353-391; verdict.md P3</t>
  </si>
  <si>
    <t xml:space="preserve">quilt-qcells-P16</t>
  </si>
  <si>
    <t xml:space="preserve">out-of-band anchor check</t>
  </si>
  <si>
    <t xml:space="preserve">check_anchor(data, tip, row_count) enforces the published (tip, rows) pair — the honestly-declared limit that a hash chain alone cannot detect tail truncation or a well-formed tail extension.</t>
  </si>
  <si>
    <t xml:space="preserve">ledger bytes, published tip, published row count</t>
  </si>
  <si>
    <t xml:space="preserve">anchor verdict</t>
  </si>
  <si>
    <t xml:space="preserve">row count and tip must equal the anchored pair else 'tail added or removed'</t>
  </si>
  <si>
    <t xml:space="preserve">the forged-tail and truncated-tail negative controls prove the chain passes where only the anchor catches</t>
  </si>
  <si>
    <t xml:space="preserve">qcells.py:394-408; verdict.md negative controls</t>
  </si>
  <si>
    <t xml:space="preserve">quilt-qcells-P17</t>
  </si>
  <si>
    <t xml:space="preserve">rebuild_from_rows (the ledger is the circuit)</t>
  </si>
  <si>
    <t xml:space="preserve">Reconstruct a QuantumCircuit from ledger rows ONLY: BIND/gate rows re-emit primitives, EFFECT/readout re-issues measure, LINK supplies (n, m, name); the rebuilt circuit's data equals the wrapped original's data.</t>
  </si>
  <si>
    <t xml:space="preserve">ledger rows</t>
  </si>
  <si>
    <t xml:space="preserve">QuantumCircuit</t>
  </si>
  <si>
    <t xml:space="preserve">P1: replay == oracle exactly (rebuilt data == wrapped data, statevector ==, sealed counts ==) across 16/16 circuits</t>
  </si>
  <si>
    <t xml:space="preserve">rows carrying sugar or hand-forged args would fail simulate()-equality</t>
  </si>
  <si>
    <t xml:space="preserve">qcells.py:413-457</t>
  </si>
  <si>
    <t xml:space="preserve">quilt-qcells-P18</t>
  </si>
  <si>
    <t xml:space="preserve">initialize refusal after first gate</t>
  </si>
  <si>
    <t xml:space="preserve">initialize() is refused once any gate exists — re-initializing would clear the program out from under the chain; measure_all() and circuit __add__ are deliberately not wrapped (declared scope).</t>
  </si>
  <si>
    <t xml:space="preserve">initialize call, existing gates</t>
  </si>
  <si>
    <t xml:space="preserve">refusal (LedgerError)</t>
  </si>
  <si>
    <t xml:space="preserve">any existing gate row -&gt; refuse</t>
  </si>
  <si>
    <t xml:space="preserve">a mid-chain re-init would orphan every prior row's meaning</t>
  </si>
  <si>
    <t xml:space="preserve">qcells.py:86-88, 481-489</t>
  </si>
  <si>
    <t xml:space="preserve">quilt-qcells-P19</t>
  </si>
  <si>
    <t xml:space="preserve">registration seals over the code that runs</t>
  </si>
  <si>
    <t xml:space="preserve">conformance --register seals claims PENDING plus sha256+mtime+size of qcells.py / conformance.py / micromoth.py BEFORE runs; every run re-verifies and refuses (exit 2) if the code moved — the code that ran is the code that was sealed.</t>
  </si>
  <si>
    <t xml:space="preserve">source files, registration.json</t>
  </si>
  <si>
    <t xml:space="preserve">sha256 equal AND |mtime - sealed| &lt;= 1.0s AND size equal, else FATAL refuse</t>
  </si>
  <si>
    <t xml:space="preserve">VERIFIED LIVE: stale mtime seals correctly refused this workspace's normalized timestamps — the refusal is the mechanism working</t>
  </si>
  <si>
    <t xml:space="preserve">conformance.py:88, 118-127</t>
  </si>
  <si>
    <t xml:space="preserve">quilt-qcells-P20</t>
  </si>
  <si>
    <t xml:space="preserve">negative controls proving the detection boundary</t>
  </si>
  <si>
    <t xml:space="preserve">Five controls: forged tail extension (chain passes, anchor catches), dropped middle row (sequence break), truncated tail (anchor count catches), fully re-forged chain with doctored init payload (anchor AND payload sha pin fire), unsealed sampling disagreement — the map of what is and is not detectable.</t>
  </si>
  <si>
    <t xml:space="preserve">tampered ledgers</t>
  </si>
  <si>
    <t xml:space="preserve">5/5 expected detections</t>
  </si>
  <si>
    <t xml:space="preserve">each control must be caught by the named mechanism, and the unsealed hole must be real</t>
  </si>
  <si>
    <t xml:space="preserve">verdict.md:39-44; conformance.py:483-490</t>
  </si>
  <si>
    <t xml:space="preserve">quilt-qcells-P21</t>
  </si>
  <si>
    <t xml:space="preserve">receipt chain over conformance itself</t>
  </si>
  <si>
    <t xml:space="preserve">The conformance run seals its own results into a 21-row fnv1a-64 receipt chain (tip 73583aaef12b1d4d) with byte-identical determinism across full runs and no wall-clock values in receipts.</t>
  </si>
  <si>
    <t xml:space="preserve">conformance results</t>
  </si>
  <si>
    <t xml:space="preserve">receipts/conformance.jsonl + summary.json</t>
  </si>
  <si>
    <t xml:space="preserve">two full runs produce byte-identical receipts (no wall-clock leakage)</t>
  </si>
  <si>
    <t xml:space="preserve">a timestamp in receipts would break the byte-identical crown</t>
  </si>
  <si>
    <t xml:space="preserve">verdict.md:45-47; receipts/summary.json</t>
  </si>
  <si>
    <t xml:space="preserve">jev-garden-P01</t>
  </si>
  <si>
    <t xml:space="preserve">hex lattice substrate</t>
  </si>
  <si>
    <t xml:space="preserve">61-cell hex lattice radius 4; hexDist is the axial distance law; every context maps into exactly one cell.</t>
  </si>
  <si>
    <t xml:space="preserve">radius (default 4)</t>
  </si>
  <si>
    <t xml:space="preserve">lattice cell keys 'q,r'</t>
  </si>
  <si>
    <t xml:space="preserve">cell count == 61 at radius 4 (axial formula 3r^2+3r+1)</t>
  </si>
  <si>
    <t xml:space="preserve">an off-lattice coordinate would mis-map; prevented because contextCell indexes the built lattice modulo 61</t>
  </si>
  <si>
    <t xml:space="preserve">src/field.mjs:L14-L28</t>
  </si>
  <si>
    <t xml:space="preserve">jev-garden-P02</t>
  </si>
  <si>
    <t xml:space="preserve">canonical byte discipline</t>
  </si>
  <si>
    <t xml:space="preserve">sorted-key canonicalJSON, sha256Hex, fnv1a64 (fleet chain basis), r6 epoch quantisation, and a LABELED LCG fallback stream — no wall-clock, no Math.random anywhere.</t>
  </si>
  <si>
    <t xml:space="preserve">any JS value / string / seed hex</t>
  </si>
  <si>
    <t xml:space="preserve">canonical strings, hashes, deterministic uniforms</t>
  </si>
  <si>
    <t xml:space="preserve">no wall-clock or Math.random in any deterministic path (header law of canon.mjs)</t>
  </si>
  <si>
    <t xml:space="preserve">byte-nondeterministic weaves would break the JS==Python twin claim (P-G5)</t>
  </si>
  <si>
    <t xml:space="preserve">src/canon.mjs:L1-L49</t>
  </si>
  <si>
    <t xml:space="preserve">jev-garden-P03</t>
  </si>
  <si>
    <t xml:space="preserve">context-to-cell pre-registered mapping</t>
  </si>
  <si>
    <t xml:space="preserve">contextCell = lattice[fnv1a64(canonical context string) % 61] — the DESIGN.md §4 pre-registered mapping from judgment context to lattice coordinate.</t>
  </si>
  <si>
    <t xml:space="preserve">context string</t>
  </si>
  <si>
    <t xml:space="preserve">cell key</t>
  </si>
  <si>
    <t xml:space="preserve">same context string always yields the same cell (pre-registered, deterministic)</t>
  </si>
  <si>
    <t xml:space="preserve">re-registering the mapping after growth would invalidate all accumulated memory</t>
  </si>
  <si>
    <t xml:space="preserve">src/field.mjs:L30-L35</t>
  </si>
  <si>
    <t xml:space="preserve">jev-garden-P04</t>
  </si>
  <si>
    <t xml:space="preserve">deform (JEV soft emit)</t>
  </si>
  <si>
    <t xml:space="preserve">every judgment event appends an alpha=0.4-weighted (gamma,eta,delta) deformation to the mapped cell; never a definite token; delta defaults to the creative-band centre 0.5.</t>
  </si>
  <si>
    <t xml:space="preserve">contextStr, gamma, surprise, tag</t>
  </si>
  <si>
    <t xml:space="preserve">journal row {kind:'deform'}, mutated cell accumulators</t>
  </si>
  <si>
    <t xml:space="preserve">deform never emits a definite token — only (gamma,eta,delta) masses</t>
  </si>
  <si>
    <t xml:space="preserve">a hard write here would collapse the wave and erase the non-collapsing claim</t>
  </si>
  <si>
    <t xml:space="preserve">src/field.mjs:L48-L68</t>
  </si>
  <si>
    <t xml:space="preserve">jev-garden-P05</t>
  </si>
  <si>
    <t xml:space="preserve">observe — the only collapse</t>
  </si>
  <si>
    <t xml:space="preserve">an observed outcome (receipt label, teacher answer, human REVIEW) is the only place supervision exists; it appends an 'observe' row and increments the per-context op aggregate.</t>
  </si>
  <si>
    <t xml:space="preserve">contextStr, op, source</t>
  </si>
  <si>
    <t xml:space="preserve">journal row {kind:'observe'}, observed aggregate</t>
  </si>
  <si>
    <t xml:space="preserve">observations are the only collapses (smoke-asserted)</t>
  </si>
  <si>
    <t xml:space="preserve">supervision leaking in anywhere else would make training unauditable</t>
  </si>
  <si>
    <t xml:space="preserve">src/field.mjs:L70-L81</t>
  </si>
  <si>
    <t xml:space="preserve">jev-garden-P06</t>
  </si>
  <si>
    <t xml:space="preserve">hash-chained growth journal</t>
  </si>
  <si>
    <t xml:space="preserve">append-only journal; each row_hash = sha256(canonicalJSON([prev, row])) from GENESIS; verifyJournal replays and names the exact failing seq.</t>
  </si>
  <si>
    <t xml:space="preserve">journal rows</t>
  </si>
  <si>
    <t xml:space="preserve">chain tip, verification verdict {ok, at}</t>
  </si>
  <si>
    <t xml:space="preserve">verifyJournal ok after clean run; tamper detected AND localized at exact row (selftest rows)</t>
  </si>
  <si>
    <t xml:space="preserve">a silent rewrite would forge the field's history</t>
  </si>
  <si>
    <t xml:space="preserve">src/field.mjs:L83-L102; tests/selftest.mjs:L65-L75</t>
  </si>
  <si>
    <t xml:space="preserve">jev-garden-P07</t>
  </si>
  <si>
    <t xml:space="preserve">rhizome prior (amplitude-weighted vote)</t>
  </si>
  <si>
    <t xml:space="preserve">pure, non-mutating sense-time aggregate: observed op votes weighted by cell gamma/(aSum)/(1+hexDist) within radius 2; uniform fallback when no mass.</t>
  </si>
  <si>
    <t xml:space="preserve">contextStr, radius</t>
  </si>
  <si>
    <t xml:space="preserve">op probability table</t>
  </si>
  <si>
    <t xml:space="preserve">total&lt;=0 falls back to uniform 1/7 (no crash, no invention)</t>
  </si>
  <si>
    <t xml:space="preserve">empty memory must degrade to honest uniform, not garbage</t>
  </si>
  <si>
    <t xml:space="preserve">src/field.mjs:L104-L139</t>
  </si>
  <si>
    <t xml:space="preserve">jev-garden-P08</t>
  </si>
  <si>
    <t xml:space="preserve">counted memory prior (A1 addendum)</t>
  </si>
  <si>
    <t xml:space="preserve">priorCounted: add-1 smoothed exact-context counts, falling back to the global observed distribution — the payload the P-G2d +13.41pp and the A9/A10/A12 fresh-serve laws ride on.</t>
  </si>
  <si>
    <t xml:space="preserve">contextStr</t>
  </si>
  <si>
    <t xml:space="preserve">unseen context uses the global observed distribution, never zeros</t>
  </si>
  <si>
    <t xml:space="preserve">exact-context memorisation does not transfer across circuit families (P-G2b FAIL of record)</t>
  </si>
  <si>
    <t xml:space="preserve">src/field.mjs:L141-L160</t>
  </si>
  <si>
    <t xml:space="preserve">jev-garden-P09</t>
  </si>
  <si>
    <t xml:space="preserve">sense table serialization (weave-2)</t>
  </si>
  <si>
    <t xml:space="preserve">the compact order-free serialization of everything prior() consumes — cells with &gt;=1 observed context carry r6(G), r6(aSum); supervision aggregate sorted bytewise — so the weave artifact can carry the living-memory arm.</t>
  </si>
  <si>
    <t xml:space="preserve">rhizome state</t>
  </si>
  <si>
    <t xml:space="preserve">{cells, observed} serializable table</t>
  </si>
  <si>
    <t xml:space="preserve">byte-deterministic under canonicalJSON (sorted contexts, sorted ops, r6)</t>
  </si>
  <si>
    <t xml:space="preserve">nondeterministic serialization would break P-G5 cross-substrate identity</t>
  </si>
  <si>
    <t xml:space="preserve">src/field.mjs:L181-L199</t>
  </si>
  <si>
    <t xml:space="preserve">jev-garden-P10</t>
  </si>
  <si>
    <t xml:space="preserve">qthe prototype arm</t>
  </si>
  <si>
    <t xml:space="preserve">growth is adding prototype cells keyed op|yR|yI (integer split-channel QTHE aggregation) — no gradients anywhere; judgment = distance-weighted prototype vote blended with the abstain wormhole.</t>
  </si>
  <si>
    <t xml:space="preserve">train samples (tokens, label)</t>
  </si>
  <si>
    <t xml:space="preserve">prototype list + wormhole; judgeQthe probability table</t>
  </si>
  <si>
    <t xml:space="preserve">zero-score tie falls back to honest uniform (tie flag returned)</t>
  </si>
  <si>
    <t xml:space="preserve">overflow impossible — integers packed into tau:2+d:6 bytes</t>
  </si>
  <si>
    <t xml:space="preserve">src/heads.mjs:L10-L46</t>
  </si>
  <si>
    <t xml:space="preserve">jev-garden-P11</t>
  </si>
  <si>
    <t xml:space="preserve">hash-arm SGD head</t>
  </si>
  <si>
    <t xml:space="preserve">softmax over 2^11 hashed n-gram buckets trained by zero-dep JS SGD with sealed HYP (lr 0.5, epochs 12, wd 1e-4, clip 5) — torch-shaped, torch-free, epoch-quantised weights.</t>
  </si>
  <si>
    <t xml:space="preserve">train samples</t>
  </si>
  <si>
    <t xml:space="preserve">W[7][2048], b[7]; judgeHash probability table</t>
  </si>
  <si>
    <t xml:space="preserve">deterministic: zero-init weights, no RNG (selftest 'trainHash deterministic')</t>
  </si>
  <si>
    <t xml:space="preserve">float drift across substrates — contained by r6 epoch quantisation</t>
  </si>
  <si>
    <t xml:space="preserve">src/heads.mjs:L48-L85</t>
  </si>
  <si>
    <t xml:space="preserve">jev-garden-P12</t>
  </si>
  <si>
    <t xml:space="preserve">bigram floor + sealed ensemble lambda</t>
  </si>
  <si>
    <t xml:space="preserve">bigram transition counts are the honest enemy floor; ens = lambda*p_head + (1-lambda)*p_rhizome with lambda sealed at 0.5 BEFORE the run to price the kinda-both claim.</t>
  </si>
  <si>
    <t xml:space="preserve">head probs, rhizome prior</t>
  </si>
  <si>
    <t xml:space="preserve">ensemble probability table</t>
  </si>
  <si>
    <t xml:space="preserve">ENS_LAMBDA=0.5 sealed in PREDICTIONS.md before the run (decision rules before the run)</t>
  </si>
  <si>
    <t xml:space="preserve">post-hoc lambda tuning would invalidate the bake-off — honest FAILs (P-G2/b/c) are receipted instead</t>
  </si>
  <si>
    <t xml:space="preserve">src/heads.mjs:L104-L140</t>
  </si>
  <si>
    <t xml:space="preserve">jev-garden-P13</t>
  </si>
  <si>
    <t xml:space="preserve">feature builders</t>
  </si>
  <si>
    <t xml:space="preserve">K=3 context window tokens, qthePack byte packing (tau:2 timbre + d:6 coordinate) with position weights [4,2,1], hashFeatures into 2^11 buckets L2-normalised.</t>
  </si>
  <si>
    <t xml:space="preserve">receipt rows (kind, op)</t>
  </si>
  <si>
    <t xml:space="preserve">tokens, qthe bytes, sparse feature vectors</t>
  </si>
  <si>
    <t xml:space="preserve">K=3 window sealed (selftest 'K=3 window sealed'); hash features L2-normalised and deterministic</t>
  </si>
  <si>
    <t xml:space="preserve">an unsealed window size would silently change the meaning of 'context'</t>
  </si>
  <si>
    <t xml:space="preserve">src/features.mjs:L15-L93</t>
  </si>
  <si>
    <t xml:space="preserve">jev-garden-P14</t>
  </si>
  <si>
    <t xml:space="preserve">grow stream law</t>
  </si>
  <si>
    <t xml:space="preserve">one deformation per judgment event + one observation per labeled receipt — the watch-&gt;deform-&gt;observe loop that makes the garden grow from what flows through the quilt.</t>
  </si>
  <si>
    <t xml:space="preserve">sample stream (ctx, label)</t>
  </si>
  <si>
    <t xml:space="preserve">deformed+observed rhizome</t>
  </si>
  <si>
    <t xml:space="preserve">every stream sample does exactly one deform and one observe</t>
  </si>
  <si>
    <t xml:space="preserve">observing without judging (or vice versa) would desync memory from supervision</t>
  </si>
  <si>
    <t xml:space="preserve">src/weaver.mjs:L10-L18</t>
  </si>
  <si>
    <t xml:space="preserve">jev-garden-P15</t>
  </si>
  <si>
    <t xml:space="preserve">paired-arm evaluation</t>
  </si>
  <si>
    <t xml:space="preserve">all five arms (bigram, qthe, hash, field, ens) judged on the same sealed samples — paired arms, identical worlds.</t>
  </si>
  <si>
    <t xml:space="preserve">trained models, eval samples, rhizome</t>
  </si>
  <si>
    <t xml:space="preserve">per-arm top-1 accuracy table</t>
  </si>
  <si>
    <t xml:space="preserve">arms differ only in the mechanism under test; identical sample list for every arm</t>
  </si>
  <si>
    <t xml:space="preserve">unequal worlds would let an arm win by soil, not by mechanism</t>
  </si>
  <si>
    <t xml:space="preserve">src/weaver.mjs:L20-L38</t>
  </si>
  <si>
    <t xml:space="preserve">jev-garden-P16</t>
  </si>
  <si>
    <t xml:space="preserve">promotion gate (jeviter lifecycle)</t>
  </si>
  <si>
    <t xml:space="preserve">challenger vs incumbent on the sealed eval slice: PROMOTE iff top-1 improves &gt;= +0.02 absolute AND no tracked metric (hash, ens) degrades &gt; 0.05; no incumbent -&gt; PROMOTE (first fruit); ties -&gt; REVIEW; DISCARD is receipted and kept in the journal.</t>
  </si>
  <si>
    <t xml:space="preserve">challenger evalMetrics, incumbent evalMetrics</t>
  </si>
  <si>
    <t xml:space="preserve">{verdict: PROMOTE|REVIEW|DISCARD, reason}</t>
  </si>
  <si>
    <t xml:space="preserve">gain &gt;= +0.02 to promote; any tracked gain &lt; -0.05 discards</t>
  </si>
  <si>
    <t xml:space="preserve">a degraded weave promoted would poison serving; saturated soil honestly yields REVIEW/DISCARD (P-G2c lambda*=0)</t>
  </si>
  <si>
    <t xml:space="preserve">src/weaver.mjs:L40-L55</t>
  </si>
  <si>
    <t xml:space="preserve">jev-garden-P17</t>
  </si>
  <si>
    <t xml:space="preserve">weave artifact v1 compilation</t>
  </si>
  <si>
    <t xml:space="preserve">self-contained JSON artifact (schema jev-garden/weave-v1): sparse hash weights, qthe prototypes+wormhole, sealed hypers, evalMetrics, gate verdict — floats r6, canonical JSON, sha256-sealed.</t>
  </si>
  <si>
    <t xml:space="preserve">rhizome, train/eval samples, incumbent, weaveIndex</t>
  </si>
  <si>
    <t xml:space="preserve">artifact + artifact_sha256 + compileMs</t>
  </si>
  <si>
    <t xml:space="preserve">artifact_sha256 = sha256(canonicalJSON(artifact)); journal_tip chain-tips the artifact to the journal that produced it</t>
  </si>
  <si>
    <t xml:space="preserve">an artifact without its journal tip could not be traced to its growth history</t>
  </si>
  <si>
    <t xml:space="preserve">src/weaver.mjs:L57-L101</t>
  </si>
  <si>
    <t xml:space="preserve">jev-garden-P18</t>
  </si>
  <si>
    <t xml:space="preserve">weave artifact v2 (sense table rides)</t>
  </si>
  <si>
    <t xml:space="preserve">same training laws as v1 (byte-identical hash/qthe arms) plus arms.field = the serialized rhizome sense table; registered serve ensemble ens3 = 0.4*hash + 0.4*qthe + 0.2*field.</t>
  </si>
  <si>
    <t xml:space="preserve">rhizome, train/eval samples</t>
  </si>
  <si>
    <t xml:space="preserve">weave-v2 artifact + serveMetrics</t>
  </si>
  <si>
    <t xml:space="preserve">schema jev-garden/weave-v2; registered weights only (wh/wq/wf)</t>
  </si>
  <si>
    <t xml:space="preserve">the registered ens3 blend FAILED on saturated eval (P-W2b verdict of record, -0.0077) — served only as opt-in</t>
  </si>
  <si>
    <t xml:space="preserve">src/weaver.mjs:L114-L176</t>
  </si>
  <si>
    <t xml:space="preserve">jev-garden-P19</t>
  </si>
  <si>
    <t xml:space="preserve">loadWeave fail-closed schema gate</t>
  </si>
  <si>
    <t xml:space="preserve">serve refuses unknown weave schemas; rebuilds sparse weights to Float64Array; attaches sense-table prior and opt-in mode flags (A7/A8/A9/A10/A12/A13) only when the artifact pre-registers them.</t>
  </si>
  <si>
    <t xml:space="preserve">artifact JSON</t>
  </si>
  <si>
    <t xml:space="preserve">loaded weave {hash, qthe, field?, flags}</t>
  </si>
  <si>
    <t xml:space="preserve">unknown weave schema -&gt; throw 'refuse: unknown weave schema'</t>
  </si>
  <si>
    <t xml:space="preserve">silently loading a foreign artifact would serve unsealed weights</t>
  </si>
  <si>
    <t xml:space="preserve">src/serve.mjs:L15-L58</t>
  </si>
  <si>
    <t xml:space="preserve">jev-garden-P20</t>
  </si>
  <si>
    <t xml:space="preserve">judge branch law (registered order)</t>
  </si>
  <si>
    <t xml:space="preserve">served expression selected in registered order A7 -&gt; A12 -&gt; A10 -&gt; A9 -&gt; A8 -&gt; default v1 (strictest-freshest wins); default is the v1 law ens2 = 0.5*hash + 0.5*qthe; answers carry choice/noul/score + confidence + full probability table.</t>
  </si>
  <si>
    <t xml:space="preserve">loaded weave, state context, questions, judged row</t>
  </si>
  <si>
    <t xml:space="preserve">systemone answers + escalate flag + usage tag</t>
  </si>
  <si>
    <t xml:space="preserve">gate-closed paths serve the byte-identical v1 expression; opt-in modes change nothing without their artifact flag</t>
  </si>
  <si>
    <t xml:space="preserve">an ungated mode flipping a saturated judgment — exactly what P-A8 priced (gate opened 11/259 saturated calls, registered FAIL branch executed)</t>
  </si>
  <si>
    <t xml:space="preserve">src/serve.mjs:L60-L192</t>
  </si>
  <si>
    <t xml:space="preserve">jev-garden-P21</t>
  </si>
  <si>
    <t xml:space="preserve">escalation budget organ (A13)</t>
  </si>
  <si>
    <t xml:space="preserve">the organ holds the lane's spend authority for ONE production walk: the first cap honest escalate signals are granted, later ones refused and COUNTED with reason budget_exhausted — never swallowed; it consumes only the signal, never the served bytes.</t>
  </si>
  <si>
    <t xml:space="preserve">cap (escalate_max_per_walk), escalate signals</t>
  </si>
  <si>
    <t xml:space="preserve">grant/refuse decisions + {cap, spent, refused, reason}</t>
  </si>
  <si>
    <t xml:space="preserve">non-integer or negative cap throws at construction (fail-closed), not mid-walk</t>
  </si>
  <si>
    <t xml:space="preserve">a capped organ that perturbed judge() could launder budget policy into judgment</t>
  </si>
  <si>
    <t xml:space="preserve">src/serve.mjs:L194-L220</t>
  </si>
  <si>
    <t xml:space="preserve">jev-garden-P22</t>
  </si>
  <si>
    <t xml:space="preserve">escalation threshold (sealed 0.55)</t>
  </si>
  <si>
    <t xml:space="preserve">ESCALATE_BELOW = 0.55 sealed constant: escalate = top.p &lt; 0.55 — the honest local signal that low-confidence judgments leave the garden.</t>
  </si>
  <si>
    <t xml:space="preserve">argmax probability</t>
  </si>
  <si>
    <t xml:space="preserve">escalate boolean</t>
  </si>
  <si>
    <t xml:space="preserve">threshold constant sealed, reused as H* by the A8/A9 gated modes</t>
  </si>
  <si>
    <t xml:space="preserve">a per-row gate cannot guarantee whole-slice closure (P-A8b: 11/259 saturated opens)</t>
  </si>
  <si>
    <t xml:space="preserve">src/serve.mjs:L13; src/serve.mjs:L186-L191</t>
  </si>
  <si>
    <t xml:space="preserve">jev-garden-P23</t>
  </si>
  <si>
    <t xml:space="preserve">teacher bridge (escalation organ wire)</t>
  </si>
  <si>
    <t xml:space="preserve">the ONLY networked module: hosted JEV (jev-latest, systemone wire) called with the caller's key; returns a usage receipt (model, tokens, latency) that the caller appends to the growth journal — gifted compute leaves receipts.</t>
  </si>
  <si>
    <t xml:space="preserve">state, questions, TYPESAFE_API_KEY</t>
  </si>
  <si>
    <t xml:space="preserve">receipt {model, usage, latency_ms, answers}</t>
  </si>
  <si>
    <t xml:space="preserve">missing TYPESAFE_API_KEY -&gt; fail-closed throw ('teacher channel closed'); HTTP error surfaces status + body</t>
  </si>
  <si>
    <t xml:space="preserve">an unkeyed or silent teacher call would be an unauditable spend</t>
  </si>
  <si>
    <t xml:space="preserve">src/teacher.mjs:L1-L31</t>
  </si>
  <si>
    <t xml:space="preserve">jev-garden-P24</t>
  </si>
  <si>
    <t xml:space="preserve">qcells soil adapter</t>
  </si>
  <si>
    <t xml:space="preserve">turns the real quilt-qcells CELL-MAPPING ledgers into garden judgment streams: byte-order-sorted 12 train / 4 eval ledger split, sample building (k-context -&gt; next opcode).</t>
  </si>
  <si>
    <t xml:space="preserve">ledger directory (16 ledgers, 1418 rows)</t>
  </si>
  <si>
    <t xml:space="preserve">train/eval sample streams</t>
  </si>
  <si>
    <t xml:space="preserve">split is byte-order sorted and sealed (selftest 'split: 12 train / 4 eval', 'split is byte-order sorted')</t>
  </si>
  <si>
    <t xml:space="preserve">an unsealed split would let eval soil leak into training</t>
  </si>
  <si>
    <t xml:space="preserve">adapters/qcells.mjs:L11-L39</t>
  </si>
  <si>
    <t xml:space="preserve">jev-garden-P25</t>
  </si>
  <si>
    <t xml:space="preserve">impact-sensitive anomaly injection</t>
  </si>
  <si>
    <t xml:space="preserve">Task B corrupts COPIES of eval ledgers with semantic op swaps (BIND-&gt;EFFECT), seq breaks, prev-hash breaks, and arg corruption that changes the oracle — clean rows interleaved; originals untouched.</t>
  </si>
  <si>
    <t xml:space="preserve">rows, rng, rate 0.12</t>
  </si>
  <si>
    <t xml:space="preserve">corrupted row copies</t>
  </si>
  <si>
    <t xml:space="preserve">changes are impact-sensitive: op/seq/prev/args actually touched (selftest 'changes are impact-sensitive'); 'original rows untouched'</t>
  </si>
  <si>
    <t xml:space="preserve">cosmetic corruption would make the validator's AUC a costume</t>
  </si>
  <si>
    <t xml:space="preserve">adapters/qcells.mjs:L41-L83</t>
  </si>
  <si>
    <t xml:space="preserve">jev-garden-P26</t>
  </si>
  <si>
    <t xml:space="preserve">concentration detector + AUC pricing</t>
  </si>
  <si>
    <t xml:space="preserve">validator duty uses windowMax — max per-row surprise in a window, NOT the window mean (quilt-jepa design law (b)) — threshold chosen on TRAIN ledgers only; priced by AUC and FPR.</t>
  </si>
  <si>
    <t xml:space="preserve">per-row surprises</t>
  </si>
  <si>
    <t xml:space="preserve">window max statistic, percentile thresholds, AUC</t>
  </si>
  <si>
    <t xml:space="preserve">verdict of record: AUC 0.9294 &gt;= 0.90 AND FPR 0.0353 &lt;= 0.10 (P-G4); semantic-only AUC 0.9539 (P-G4b) with seq/prev delegated to the chain reader</t>
  </si>
  <si>
    <t xml:space="preserve">a mean-based window would dilute a single hard corruption — the exact failure design law (b) forbids</t>
  </si>
  <si>
    <t xml:space="preserve">adapters/qcells.mjs:L85-L115</t>
  </si>
  <si>
    <t xml:space="preserve">jeviter-P01</t>
  </si>
  <si>
    <t xml:space="preserve">fnv1a-64 chain basis (café pin)</t>
  </si>
  <si>
    <r>
      <rPr>
        <sz val="11"/>
        <color rgb="FF37352F"/>
        <rFont val="Noto Sans CJK SC"/>
        <family val="0"/>
        <charset val="1"/>
      </rPr>
      <t xml:space="preserve">BigInt FNV-1a 64 over UTF-8 bytes, pinned to the fleet vector fnv1a64("café Δ </t>
    </r>
    <r>
      <rPr>
        <sz val="11"/>
        <color rgb="FF37352F"/>
        <rFont val="WenQuanYi Zen Hei"/>
        <family val="2"/>
        <charset val="1"/>
      </rPr>
      <t xml:space="preserve">日本語</t>
    </r>
    <r>
      <rPr>
        <sz val="11"/>
        <color rgb="FF37352F"/>
        <rFont val="Noto Sans CJK SC"/>
        <family val="0"/>
        <charset val="1"/>
      </rPr>
      <t xml:space="preserve">") === 0x24a555471370b18d so jeviter receipts cross-verify with jev-quilt's Bookkeeper, duke-lab's WASM port and quilt-engine-ports' GDScript from byte one.</t>
    </r>
  </si>
  <si>
    <t xml:space="preserve">string</t>
  </si>
  <si>
    <t xml:space="preserve">64-bit BigInt hash</t>
  </si>
  <si>
    <t xml:space="preserve">café vector equality holds (pinned by tests)</t>
  </si>
  <si>
    <t xml:space="preserve">an unpinned hash would silently fork the fleet's receipt chains</t>
  </si>
  <si>
    <t xml:space="preserve">src/profile.js:L1-L15; README.md:L34-L39</t>
  </si>
  <si>
    <t xml:space="preserve">jeviter-P02</t>
  </si>
  <si>
    <t xml:space="preserve">Q16 exact rationals</t>
  </si>
  <si>
    <t xml:space="preserve">exact BigInt n/d rational pair with add/mul and float projection — profiles are exact rationals; KL is computed over rationals, never a float identity.</t>
  </si>
  <si>
    <t xml:space="preserve">counts</t>
  </si>
  <si>
    <t xml:space="preserve">exact probability rationals</t>
  </si>
  <si>
    <t xml:space="preserve">identity comparisons never pass through floats (floats live in the gain, not the identity)</t>
  </si>
  <si>
    <t xml:space="preserve">float probability identity would make equal texts compare unequal</t>
  </si>
  <si>
    <t xml:space="preserve">src/profile.js:L17-L22</t>
  </si>
  <si>
    <t xml:space="preserve">jeviter-P03</t>
  </si>
  <si>
    <t xml:space="preserve">letter-class profile organ</t>
  </si>
  <si>
    <t xml:space="preserve">distribution of a text over five letter classes (vowels/cons/digits/sep/other) — dense, smooth, stable: the shape-organ that makes ordinary prose comparable.</t>
  </si>
  <si>
    <t xml:space="preserve">text</t>
  </si>
  <si>
    <t xml:space="preserve">Q16 class distribution</t>
  </si>
  <si>
    <t xml:space="preserve">empty/whitespace text normalises against total=1 (no divide-by-zero)</t>
  </si>
  <si>
    <t xml:space="preserve">letter-class is shape-blind to single-leaf flips — which is why profileValue exists (P06)</t>
  </si>
  <si>
    <t xml:space="preserve">src/profile.js:L24-L40</t>
  </si>
  <si>
    <t xml:space="preserve">jeviter-P04</t>
  </si>
  <si>
    <t xml:space="preserve">klGain</t>
  </si>
  <si>
    <t xml:space="preserve">KL divergence of the new reading from the boundary belief over shared support; the surprise number the whole iteration loops on.</t>
  </si>
  <si>
    <t xml:space="preserve">base distribution, reading distribution</t>
  </si>
  <si>
    <t xml:space="preserve">gain (float)</t>
  </si>
  <si>
    <t xml:space="preserve">p==0 or q==0 shared-support terms contribute nothing (documented semantics)</t>
  </si>
  <si>
    <t xml:space="preserve">honest negative of record: blind to CATEGORICAL REPLACEMENT — a flipped verdict digit scored exactly 0.0 in the w2 coroner receipt</t>
  </si>
  <si>
    <t xml:space="preserve">src/profile.js:L42-L49</t>
  </si>
  <si>
    <t xml:space="preserve">jeviter-P05</t>
  </si>
  <si>
    <t xml:space="preserve">klGainStrict (categorical replacement law)</t>
  </si>
  <si>
    <t xml:space="preserve">the night-lab receipt folded home: vanished mass (p&gt;0,q==0) and novel mass (p==0,q&gt;0) each count at FULL weight — a category swap is maximal news, not silence; klGain untouched for backward compat.</t>
  </si>
  <si>
    <t xml:space="preserve">strict gain</t>
  </si>
  <si>
    <t xml:space="preserve">three independent lanes' falsifiers (flipped verdict digit, fixed-grammar stream, maximally different essays) book non-zero</t>
  </si>
  <si>
    <t xml:space="preserve">without it, maximally different inputs read as silence</t>
  </si>
  <si>
    <t xml:space="preserve">src/profile.js:L51-L72</t>
  </si>
  <si>
    <t xml:space="preserve">jeviter-P06</t>
  </si>
  <si>
    <t xml:space="preserve">profileValue leaf-class organ</t>
  </si>
  <si>
    <t xml:space="preserve">distribution over a structured row's JSON leaf classes keyed `path=value` exactly (no binning) — the organ that sees ONE leaf flip inside receipt rows.</t>
  </si>
  <si>
    <t xml:space="preserve">JSON object</t>
  </si>
  <si>
    <t xml:space="preserve">leaf-class Q16 distribution</t>
  </si>
  <si>
    <t xml:space="preserve">'verdict=ok' -&gt; 'verdict=fail' is a full class move (~1/leaves-per-row mass), the falsifier that killed coroner v1</t>
  </si>
  <si>
    <t xml:space="preserve">binning would dilute the flip back into silence</t>
  </si>
  <si>
    <t xml:space="preserve">src/profile.js:L74-L99</t>
  </si>
  <si>
    <t xml:space="preserve">jeviter-P07</t>
  </si>
  <si>
    <t xml:space="preserve">dynamicThreshold</t>
  </si>
  <si>
    <t xml:space="preserve">the threshold is alive: mean + k·σ over admitted gains — a fixed line is a target; this moves.</t>
  </si>
  <si>
    <t xml:space="preserve">accepted gains array, k</t>
  </si>
  <si>
    <t xml:space="preserve">threshold</t>
  </si>
  <si>
    <t xml:space="preserve">no admissions yet -&gt; threshold 0 (the seed path stays open)</t>
  </si>
  <si>
    <t xml:space="preserve">admissions-only statistics can freeze under starvation (cured by P08)</t>
  </si>
  <si>
    <t xml:space="preserve">src/profile.js:L101-L106</t>
  </si>
  <si>
    <t xml:space="preserve">jeviter-P08</t>
  </si>
  <si>
    <t xml:space="preserve">dynamicThresholdEWMA (starvation cure)</t>
  </si>
  <si>
    <t xml:space="preserve">baseline = EWMA over ALL pulls, admitted or silenced; amplitude = population σ over all pulls; state.ewma persists across calls — the ratchet keeps amplitude-invariance while the EWMA restores the descent path.</t>
  </si>
  <si>
    <t xml:space="preserve">seed gains, all gains, alpha, k, state</t>
  </si>
  <si>
    <t xml:space="preserve">threshold + mutated state.ewma</t>
  </si>
  <si>
    <t xml:space="preserve">baseline moves on silences too ('25 quiet samples let the baseline forget the day')</t>
  </si>
  <si>
    <t xml:space="preserve">cures the found-DEAD org-watch state (threshold frozen at 0.100476, 81 rows, zero admissions, no way down)</t>
  </si>
  <si>
    <t xml:space="preserve">src/profile.js:L108-L125</t>
  </si>
  <si>
    <t xml:space="preserve">jeviter-P09</t>
  </si>
  <si>
    <t xml:space="preserve">hash-chained receipt ledger</t>
  </si>
  <si>
    <t xml:space="preserve">every pull outcome (seed/silence/event/exhausted/shed/escalated/held/merged) is booked as a body string whose fnv1a-64 becomes the chain tail; verify() replays from genesis and tamper breaks at its own row.</t>
  </si>
  <si>
    <t xml:space="preserve">state, payload, kind</t>
  </si>
  <si>
    <t xml:space="preserve">chained entry + tail hash</t>
  </si>
  <si>
    <t xml:space="preserve">verify() false on any mutated body; a ledger that verifies with 0 events is receipted QUIET, not a hang</t>
  </si>
  <si>
    <t xml:space="preserve">unbooked silence would make downtime unprovable</t>
  </si>
  <si>
    <t xml:space="preserve">src/core.js:L14-L35</t>
  </si>
  <si>
    <t xml:space="preserve">jeviter-P10</t>
  </si>
  <si>
    <t xml:space="preserve">seed law (no belief, no refusal)</t>
  </si>
  <si>
    <t xml:space="preserve">the first pull establishes the boundary belief and books a 'seed' row — seeding is not news and never yields.</t>
  </si>
  <si>
    <t xml:space="preserve">first stream reading</t>
  </si>
  <si>
    <t xml:space="preserve">belief + seed receipt</t>
  </si>
  <si>
    <t xml:space="preserve">first pull MUST NOT yield as an event (law 1, pinned by tests)</t>
  </si>
  <si>
    <t xml:space="preserve">counting the seed as news would emit a phantom event on every boot</t>
  </si>
  <si>
    <t xml:space="preserve">src/core.js:L88-L94</t>
  </si>
  <si>
    <t xml:space="preserve">jeviter-P11</t>
  </si>
  <si>
    <t xml:space="preserve">silence booking</t>
  </si>
  <si>
    <t xml:space="preserve">a pull whose gain is under threshold is booked as a 'silence' row carrying gain and threshold to 6 decimals.</t>
  </si>
  <si>
    <t xml:space="preserve">gain below threshold</t>
  </si>
  <si>
    <t xml:space="preserve">silence receipt</t>
  </si>
  <si>
    <t xml:space="preserve">EVERY silenced pull is booked (law 2) — admission accounting stays exact</t>
  </si>
  <si>
    <t xml:space="preserve">dropped silences would turn a quiet stream into an unauditable hang</t>
  </si>
  <si>
    <t xml:space="preserve">src/core.js:L96-L101</t>
  </si>
  <si>
    <t xml:space="preserve">jeviter-P12</t>
  </si>
  <si>
    <t xml:space="preserve">event admission + belief update</t>
  </si>
  <si>
    <t xml:space="preserve">gain above the live threshold updates the belief, pushes the gain into the admitted set, and yields {text, gain, threshold, pulls, tick} exactly once.</t>
  </si>
  <si>
    <t xml:space="preserve">gain above threshold</t>
  </si>
  <si>
    <t xml:space="preserve">event yield + event receipt</t>
  </si>
  <si>
    <t xml:space="preserve">yield happens iff gain &gt; threshold (admission)</t>
  </si>
  <si>
    <t xml:space="preserve">yielding on equal gain would let fixed-amplitude noise through</t>
  </si>
  <si>
    <t xml:space="preserve">src/core.js:L102-L108</t>
  </si>
  <si>
    <t xml:space="preserve">jeviter-P13</t>
  </si>
  <si>
    <t xml:space="preserve">scanLedger honest readings</t>
  </si>
  <si>
    <t xml:space="preserve">replays a persisted ledger from genesis and names what the silence pattern says: TAMPER (naming the breaking row) / EMPTY / QUIET (receipted quiet, not a hang) / ALIVE with admission percentage.</t>
  </si>
  <si>
    <t xml:space="preserve">ledger entries</t>
  </si>
  <si>
    <t xml:space="preserve">{verified, brokenAt, kinds, events, silences, reading}</t>
  </si>
  <si>
    <t xml:space="preserve">broken chain names its own row; QUIET is a verdict, not an error</t>
  </si>
  <si>
    <t xml:space="preserve">a scanner that fails on quiet would costume honest idleness as a crash</t>
  </si>
  <si>
    <t xml:space="preserve">src/core.js:L37-L69</t>
  </si>
  <si>
    <t xml:space="preserve">jeviter-P14</t>
  </si>
  <si>
    <t xml:space="preserve">Throttle (anti-DoS ratchet)</t>
  </si>
  <si>
    <t xml:space="preserve">wraps any fn: the first call seeds the boundary; familiar calls are SHED (receipted, return undefined), surprising calls escalate; the belief window keeps the last 16 payloads.</t>
  </si>
  <si>
    <t xml:space="preserve">call text + args</t>
  </si>
  <si>
    <t xml:space="preserve">fn result or undefined (shed) + ledger rows</t>
  </si>
  <si>
    <t xml:space="preserve">a flood of identical requests self-sheds after exactly one admission — alternating payloads cannot buy perpetual escalation (law 4)</t>
  </si>
  <si>
    <t xml:space="preserve">a shed that wasn't booked would be silent request loss</t>
  </si>
  <si>
    <t xml:space="preserve">src/core.js:L114-L154</t>
  </si>
  <si>
    <t xml:space="preserve">jeviter-P15</t>
  </si>
  <si>
    <t xml:space="preserve">PR shape signature</t>
  </si>
  <si>
    <t xml:space="preserve">shapeOf(pr) = sorted top-level areas + churn magnitude bucket (S&lt;50, M&lt;300, L) — the belief currency of the merge governor.</t>
  </si>
  <si>
    <t xml:space="preserve">PR {files, adds, dels}</t>
  </si>
  <si>
    <t xml:space="preserve">'areas:M' signature string</t>
  </si>
  <si>
    <t xml:space="preserve">signature is order-insensitive (areas sorted) — file order cannot fake divergence</t>
  </si>
  <si>
    <t xml:space="preserve">path jitter would manufacture novelty</t>
  </si>
  <si>
    <t xml:space="preserve">src/governor.js:L17-L23</t>
  </si>
  <si>
    <t xml:space="preserve">jeviter-P16</t>
  </si>
  <si>
    <t xml:space="preserve">MergeGovernor rest law</t>
  </si>
  <si>
    <t xml:space="preserve">sequential-merge homeostasis: seed merge first; divergent shapes merge then rest the queue for a FIXED restLen count of held PRs; familiar shapes merge quietly; every hold books a receipt.</t>
  </si>
  <si>
    <t xml:space="preserve">PR stream</t>
  </si>
  <si>
    <t xml:space="preserve">merge/hold decisions + ledger rows</t>
  </si>
  <si>
    <t xml:space="preserve">rest length is fixed (restLen held PRs), NOT time — wall-clock smuggling is not a release mechanism (law 3); one divergent shape buys exactly one rest</t>
  </si>
  <si>
    <t xml:space="preserve">time-based release would let a jammer pace the queue open</t>
  </si>
  <si>
    <t xml:space="preserve">src/governor.js:L25-L74</t>
  </si>
  <si>
    <t xml:space="preserve">jeviter-P17</t>
  </si>
  <si>
    <t xml:space="preserve">readGovernor audit readout</t>
  </si>
  <si>
    <t xml:space="preserve">pure readout of governor state: merged/held/rests counts, queueOpen, the belief window contents, chainVerified, and admission rate to 4 decimals.</t>
  </si>
  <si>
    <t xml:space="preserve">governor instance</t>
  </si>
  <si>
    <t xml:space="preserve">audit object</t>
  </si>
  <si>
    <t xml:space="preserve">chainVerified surfaces ledger integrity with every readout</t>
  </si>
  <si>
    <t xml:space="preserve">a readout that hid chain state would split judgment from evidence</t>
  </si>
  <si>
    <t xml:space="preserve">src/governor.js:L77-L86</t>
  </si>
  <si>
    <t xml:space="preserve">jeviter-P18</t>
  </si>
  <si>
    <t xml:space="preserve">distill CITATION gate</t>
  </si>
  <si>
    <t xml:space="preserve">every lesson must cite &gt;=1 transcript line (T&lt;n&gt;) and every cite must resolve; unresolved or absent cites are REFUSED with the reason named.</t>
  </si>
  <si>
    <t xml:space="preserve">lesson bullet + transcript</t>
  </si>
  <si>
    <t xml:space="preserve">pinned lesson or named refusal</t>
  </si>
  <si>
    <t xml:space="preserve">unresolved cite -&gt; REFUSED (never silently pinned)</t>
  </si>
  <si>
    <t xml:space="preserve">an uncited lesson would launder vibes into spec</t>
  </si>
  <si>
    <t xml:space="preserve">src/distill.js:L13-L19</t>
  </si>
  <si>
    <t xml:space="preserve">jeviter-P19</t>
  </si>
  <si>
    <t xml:space="preserve">distill DUP silence gate</t>
  </si>
  <si>
    <t xml:space="preserve">a lesson whose normalized-text hash is already pinned is booked as SILENCE in the admission accounting — repeats never re-pin; hashes bind normalized text so markdown whitespace jitter cannot rewrite a pinned lesson.</t>
  </si>
  <si>
    <t xml:space="preserve">lesson normalized text hash</t>
  </si>
  <si>
    <t xml:space="preserve">silence receipt or new pin</t>
  </si>
  <si>
    <t xml:space="preserve">already-pinned hash -&gt; silence, never re-pin (dormancy is not costume)</t>
  </si>
  <si>
    <t xml:space="preserve">re-pinning by presence would inflate the spec with duplicates</t>
  </si>
  <si>
    <t xml:space="preserve">src/distill.js:L20-L23; src/distill.js:L38-L41</t>
  </si>
  <si>
    <t xml:space="preserve">jeviter-P20</t>
  </si>
  <si>
    <t xml:space="preserve">distill WELL-FORMEDNESS re-parse</t>
  </si>
  <si>
    <t xml:space="preserve">the RENDERED stub is re-parsed and verified: provenance fields present, every lesson carries hash/see/referenced_by, cross-refs bidirectional — the check would catch a hand-edited lie.</t>
  </si>
  <si>
    <t xml:space="preserve">rendered CANON stub</t>
  </si>
  <si>
    <t xml:space="preserve">well-formedness verdict</t>
  </si>
  <si>
    <t xml:space="preserve">hand-edited stub fails re-parse against recomputed transcript hashes</t>
  </si>
  <si>
    <t xml:space="preserve">a stub trusted because it was just rendered would skip exactly the forgery case</t>
  </si>
  <si>
    <t xml:space="preserve">src/distill.js:L27-L33</t>
  </si>
  <si>
    <t xml:space="preserve">jeviter-P21</t>
  </si>
  <si>
    <t xml:space="preserve">never-throw refusal receipts</t>
  </si>
  <si>
    <t xml:space="preserve">malformed input yields a refused receipt and an honest empty stub, never a throw — refusal is data.</t>
  </si>
  <si>
    <t xml:space="preserve">malformed playtest input</t>
  </si>
  <si>
    <t xml:space="preserve">refused receipt + empty stub</t>
  </si>
  <si>
    <t xml:space="preserve">no code path throws on malformed input (NEVER-THROW doctrine header)</t>
  </si>
  <si>
    <t xml:space="preserve">a throw would convert bad input into an unbookable crash</t>
  </si>
  <si>
    <t xml:space="preserve">src/distill.js:L35-L37</t>
  </si>
  <si>
    <t xml:space="preserve">jeviter-P22</t>
  </si>
  <si>
    <t xml:space="preserve">dream consolidation (receipted sleep)</t>
  </si>
  <si>
    <t xml:space="preserve">consolidates the OLD tail of a memory WAL into summaries; originals are RELOCATED to achieved/dormant state (never deleted); summarize returning null REFUSES and refusal is a first-class receipt — a dream you cannot source is a rumor and is never booked as memory.</t>
  </si>
  <si>
    <t xml:space="preserve">memory entries, summarize fn</t>
  </si>
  <si>
    <t xml:space="preserve">dream summary + hash-chained dream receipt (dreamId over {summary, sourceIds})</t>
  </si>
  <si>
    <t xml:space="preserve">summarize null/undefined -&gt; refusal receipt (precondition); no source entry is ever deleted</t>
  </si>
  <si>
    <t xml:space="preserve">deletion instead of relocation would erase the audit trail of what was forgotten</t>
  </si>
  <si>
    <t xml:space="preserve">src/dream.js:L1-L31</t>
  </si>
  <si>
    <t xml:space="preserve">jeviter-P23</t>
  </si>
  <si>
    <t xml:space="preserve">MCP stdio server</t>
  </si>
  <si>
    <t xml:space="preserve">streams-as-handles MCP server exposing jeviter_tail, jeviter_next, jeviter_throttle, jeviter_ledger_verify (plus ADE bridge tools) so any MCP client's poll becomes a rest.</t>
  </si>
  <si>
    <t xml:space="preserve">JSON-RPC tool calls</t>
  </si>
  <si>
    <t xml:space="preserve">tool results over stdio</t>
  </si>
  <si>
    <t xml:space="preserve">named handles only — unknown handle refuses rather than guessing</t>
  </si>
  <si>
    <t xml:space="preserve">leaking handles across clients would cross-contaminate beliefs</t>
  </si>
  <si>
    <t xml:space="preserve">src/mcp.js:L1-L20</t>
  </si>
  <si>
    <t xml:space="preserve">jeviter-P24</t>
  </si>
  <si>
    <t xml:space="preserve">CLI + TUI surfaces</t>
  </si>
  <si>
    <t xml:space="preserve">zero-dep command surfaces: tail (file), follow (URL with --k), scan (verify chain + name the silence pattern), digest (stdin), tui (live ANSI instrument panel rendering silences as data).</t>
  </si>
  <si>
    <t xml:space="preserve">argv</t>
  </si>
  <si>
    <t xml:space="preserve">iterator/scan/TUI sessions</t>
  </si>
  <si>
    <t xml:space="preserve">scan names the silence pattern; TUI renders quiet as data, not as failure costume (test-pinned)</t>
  </si>
  <si>
    <t xml:space="preserve">a TUI that renders quiet as an error would invert the doctrine</t>
  </si>
  <si>
    <t xml:space="preserve">README.md:L43-L50; README.md:L66-L75</t>
  </si>
  <si>
    <t xml:space="preserve">exoj-P01</t>
  </si>
  <si>
    <t xml:space="preserve">hex geometry</t>
  </si>
  <si>
    <t xml:space="preserve">axial hexDist = (|dq|+|dq+dr|+|dr|)/2 and hexRing neighbourhood enumeration — the metric all locality (rings, distance-weighted priors) hangs on.</t>
  </si>
  <si>
    <t xml:space="preserve">axial coordinates</t>
  </si>
  <si>
    <t xml:space="preserve">distance / ring coordinates</t>
  </si>
  <si>
    <t xml:space="preserve">a wrong axial distance would corrupt every locality-dependent statistic</t>
  </si>
  <si>
    <t xml:space="preserve">core.mjs:L50-L62</t>
  </si>
  <si>
    <t xml:space="preserve">exoj-P02</t>
  </si>
  <si>
    <t xml:space="preserve">content-addressing primitives</t>
  </si>
  <si>
    <t xml:space="preserve">canonicalJSON (sorted keys, no undefined), sha256Hex, and chainHash(row, prev) = sha256(canonicalJSON([prev, row-without-hash])) — the exact chain basis the fleet shares.</t>
  </si>
  <si>
    <t xml:space="preserve">any value / rows</t>
  </si>
  <si>
    <t xml:space="preserve">canonical strings, hashes</t>
  </si>
  <si>
    <t xml:space="preserve">key order can never change a hash (sorted canonical form)</t>
  </si>
  <si>
    <t xml:space="preserve">non-canonical serialization would let reordered keys forge different proof objects</t>
  </si>
  <si>
    <t xml:space="preserve">core.mjs:L32-L46</t>
  </si>
  <si>
    <t xml:space="preserve">exoj-P03</t>
  </si>
  <si>
    <t xml:space="preserve">cell state bundle</t>
  </si>
  <si>
    <t xml:space="preserve">Cell carries gamma/eta/delta (seed view), delta_override (observe-pinned definite), strength, frags (content-addressed identity fragments), programs, touched, prob_mass, plus the ledger-policy accumulators G/E/D/aSum/n.</t>
  </si>
  <si>
    <t xml:space="preserve">(q, r) coordinates</t>
  </si>
  <si>
    <t xml:space="preserve">cell with default eta=1, delta=0.5, prob_mass=1 (fully open)</t>
  </si>
  <si>
    <t xml:space="preserve">a never-touched cell is fully open: prob_mass = 1.0, gamma = 0</t>
  </si>
  <si>
    <t xml:space="preserve">a closed-by-default cell would fake prior knowledge</t>
  </si>
  <si>
    <t xml:space="preserve">core.mjs:L69-L79</t>
  </si>
  <si>
    <t xml:space="preserve">exoj-P04</t>
  </si>
  <si>
    <t xml:space="preserve">soft_write (seed reference)</t>
  </si>
  <si>
    <t xml:space="preserve">convex blend (1-alpha)*old + alpha*new for each amplitude, alpha=0.4; strength = max(strength, gamma); prob_mass relaxes upward 0.98*p + 0.02; order-DEPENDENT by design — the verbatim seed semantics kept as one honest arm.</t>
  </si>
  <si>
    <t xml:space="preserve">(g, e, d, alpha)</t>
  </si>
  <si>
    <t xml:space="preserve">mutated cell view state</t>
  </si>
  <si>
    <t xml:space="preserve">alpha fixed at 0.4 default; write is convex (no overshoot of the targets)</t>
  </si>
  <si>
    <t xml:space="preserve">order-dependence is why e_x1 crowned the ledger policy — retained as the reference arm, not deleted</t>
  </si>
  <si>
    <t xml:space="preserve">core.mjs:L82-L89</t>
  </si>
  <si>
    <t xml:space="preserve">exoj-P05</t>
  </si>
  <si>
    <t xml:space="preserve">accumulate (ledger naturality policy)</t>
  </si>
  <si>
    <t xml:space="preserve">commutative alpha-weighted accumulation into G/E/D/aSum — a multiset union of write targets; any permutation of the same write multiset lands bit-near-identically (float residual ~1e-15, receipted in e_x1).</t>
  </si>
  <si>
    <t xml:space="preserve">mutated accumulators only</t>
  </si>
  <si>
    <t xml:space="preserve">permutation of the same writes changes nothing beyond ~1e-15 float noise</t>
  </si>
  <si>
    <t xml:space="preserve">parallel observers writing in different orders would disagree — the exact naturality failure E-X1 killed</t>
  </si>
  <si>
    <t xml:space="preserve">core.mjs:L91-L99</t>
  </si>
  <si>
    <t xml:space="preserve">exoj-P06</t>
  </si>
  <si>
    <t xml:space="preserve">amps() aggregate read</t>
  </si>
  <si>
    <t xml:space="preserve">the ONLY place the ledger policy aggregates: gamma=G/aSum, eta=E/aSum, delta = delta_override ?? D/aSum — a definite Delta from observe() outranks any accumulated aggregate.</t>
  </si>
  <si>
    <t xml:space="preserve">cell accumulators, delta_override</t>
  </si>
  <si>
    <t xml:space="preserve">displayed amplitudes</t>
  </si>
  <si>
    <t xml:space="preserve">delta_override outranks the aggregate once set</t>
  </si>
  <si>
    <t xml:space="preserve">aggregating over a pinned observation would un-collapse a collapsed cell</t>
  </si>
  <si>
    <t xml:space="preserve">core.mjs:L102-L106</t>
  </si>
  <si>
    <t xml:space="preserve">exoj-P07</t>
  </si>
  <si>
    <t xml:space="preserve">normalizeView (pure sense-time projection)</t>
  </si>
  <si>
    <t xml:space="preserve">if the active-cell mean Sigma exceeds 1, rescale gamma/eta in the VIEW only — the 'deferred' fix: normalisation never mutates cell state or the ledger.</t>
  </si>
  <si>
    <t xml:space="preserve">cell list</t>
  </si>
  <si>
    <t xml:space="preserve">view Map key -&gt; {gamma', eta', delta}</t>
  </si>
  <si>
    <t xml:space="preserve">state untouched after normalisation (pure read)</t>
  </si>
  <si>
    <t xml:space="preserve">the seed's in-place renorm silently mutates bystander cells — measured as collateral_mutations/collateral_mass telemetry</t>
  </si>
  <si>
    <t xml:space="preserve">core.mjs:L120-L133</t>
  </si>
  <si>
    <t xml:space="preserve">exoj-P08</t>
  </si>
  <si>
    <t xml:space="preserve">field construction (the surface)</t>
  </si>
  <si>
    <t xml:space="preserve">ExoJ(name, radius=4, policy) builds the 61-cell lattice Map, seq counter, deformations/observations lists, observers, the event chain with tip EXOJ-GENESIS, and the stats block (norms_fired, shaved_mass, collateral_*, refusals).</t>
  </si>
  <si>
    <t xml:space="preserve">name, radius, policy ('seed'|'deferred'|'ledger'|'refuse')</t>
  </si>
  <si>
    <t xml:space="preserve">empty open field</t>
  </si>
  <si>
    <t xml:space="preserve">lattice contains exactly the cells with hexDist &lt;= radius</t>
  </si>
  <si>
    <t xml:space="preserve">core.mjs:L137-L155</t>
  </si>
  <si>
    <t xml:space="preserve">exoj-P09</t>
  </si>
  <si>
    <t xml:space="preserve">receipt chain (_push / verifyChain)</t>
  </si>
  <si>
    <t xml:space="preserve">every event row gets row_hash = chainHash(row, tip) and advances the tip; verifyChain replays from EXOJ-GENESIS and names the failing seq and why ('missing row_hash' / 'hash mismatch'); tip survives save/load.</t>
  </si>
  <si>
    <t xml:space="preserve">event rows</t>
  </si>
  <si>
    <t xml:space="preserve">chained rows + tip + {ok, links, tip} verdict</t>
  </si>
  <si>
    <t xml:space="preserve">verifyChain ok in memory AND from the reloaded file (PoC 8: links=14, both ok)</t>
  </si>
  <si>
    <t xml:space="preserve">any byte edited anywhere in history breaks the chain at that row</t>
  </si>
  <si>
    <t xml:space="preserve">core.mjs:L160-L177</t>
  </si>
  <si>
    <t xml:space="preserve">exoj-P10</t>
  </si>
  <si>
    <t xml:space="preserve">attend (observer registration)</t>
  </si>
  <si>
    <t xml:space="preserve">registers an observer at the current seq and pushes a chained 'attend' row — registering to watch is itself a recorded act, but deforms nothing.</t>
  </si>
  <si>
    <t xml:space="preserve">observer name</t>
  </si>
  <si>
    <t xml:space="preserve">observer record + chained attend row</t>
  </si>
  <si>
    <t xml:space="preserve">attending leaves Sigma/prob_open identical to 1e-15 (PoC 4)</t>
  </si>
  <si>
    <t xml:space="preserve">observation-on-attend would make watching itself collapse the wave</t>
  </si>
  <si>
    <t xml:space="preserve">core.mjs:L180-L184</t>
  </si>
  <si>
    <t xml:space="preserve">exoj-P11</t>
  </si>
  <si>
    <t xml:space="preserve">seed _norm (honest negative kept)</t>
  </si>
  <si>
    <t xml:space="preserve">the seed's silent field-wide renorm after EVERY emit: if active mean Sigma &gt; 1.001, rescale EVERY active cell — kept verbatim but instrumented: norms_fired, shaved_mass, collateral_mutations and collateral_mass (bystander cells moved by a write aimed elsewhere) are counted into stats.</t>
  </si>
  <si>
    <t xml:space="preserve">field state after emit</t>
  </si>
  <si>
    <t xml:space="preserve">rescaled cells + honest collateral telemetry</t>
  </si>
  <si>
    <t xml:space="preserve">collateral mutations are COUNTED, never hidden (e_x2 crowned the alternatives on this telemetry)</t>
  </si>
  <si>
    <t xml:space="preserve">a silent global renorm couples every write to every cell — the anti-naturality case</t>
  </si>
  <si>
    <t xml:space="preserve">core.mjs:L186-L201; core.mjs:L247-L272</t>
  </si>
  <si>
    <t xml:space="preserve">exoj-P12</t>
  </si>
  <si>
    <t xml:space="preserve">off-lattice fold to origin</t>
  </si>
  <si>
    <t xml:space="preserve">jevEmit/observe/attachProgram fold an off-lattice (q,r) to the origin (0,0) — seed-compatible grace instead of a crash.</t>
  </si>
  <si>
    <t xml:space="preserve">(q, r) possibly outside lattice</t>
  </si>
  <si>
    <t xml:space="preserve">effective (0,0) target</t>
  </si>
  <si>
    <t xml:space="preserve">a silent fold could mask a caller bug — accepted seed-compat tradeoff, visible in the chained row's q/r</t>
  </si>
  <si>
    <t xml:space="preserve">core.mjs:L206-L208; core.mjs:L275-L278</t>
  </si>
  <si>
    <t xml:space="preserve">exoj-P13</t>
  </si>
  <si>
    <t xml:space="preserve">refuse policy (conservation boundary)</t>
  </si>
  <si>
    <t xml:space="preserve">quilt-dba mirror policy: a write whose post-Sigma on the TARGET CELL would exceed 1.0 (+1e-12 float guard) is REFUSED — ledger unchanged, refusal COUNTED and chained with would_be_Sigma recorded.</t>
  </si>
  <si>
    <t xml:space="preserve">jevEmit target + amplitudes</t>
  </si>
  <si>
    <t xml:space="preserve">chained 'refuse' row + stats.refusals/refused_mass</t>
  </si>
  <si>
    <t xml:space="preserve">post gamma+eta &lt;= 1.0 + 1e-12 or the write never lands; refusals are never silent</t>
  </si>
  <si>
    <t xml:space="preserve">the boundary is exact in the reference (1585 ok / 1586 refuse); float translation needs the receipted 1e-12 guard</t>
  </si>
  <si>
    <t xml:space="preserve">core.mjs:L211-L229</t>
  </si>
  <si>
    <t xml:space="preserve">exoj-P14</t>
  </si>
  <si>
    <t xml:space="preserve">jev_emit (soft vectorized progression)</t>
  </si>
  <si>
    <t xml:space="preserve">the JEV step: write (gamma,eta,delta) softly via the active policy, stamp a content-addressed 8-hex identity fragment (name|q|r|seq|backend), attach the program if any, seq+=1, push the chained 'deform' row with cell_Sigma_pre recorded.</t>
  </si>
  <si>
    <t xml:space="preserve">(q, r, gamma, eta, delta, opts{tag, program, backend, alpha})</t>
  </si>
  <si>
    <t xml:space="preserve">deformed cell + chained deform event</t>
  </si>
  <si>
    <t xml:space="preserve">in-band emits conserve gamma+eta=1 exactly (PoC 5: 100/100, max deviation 0.0)</t>
  </si>
  <si>
    <t xml:space="preserve">a hard token emit here would collapse the field — the charter's core prohibition</t>
  </si>
  <si>
    <t xml:space="preserve">core.mjs:L203-L256</t>
  </si>
  <si>
    <t xml:space="preserve">exoj-P15</t>
  </si>
  <si>
    <t xml:space="preserve">observe (the only collapse)</t>
  </si>
  <si>
    <t xml:space="preserve">zeroes the target cell's prob_mass, pins delta and delta_override to the definite value, seq+=1, pushes the chained 'observe' row with prev_prob recorded — the ONLY act that collapses, and it is recorded.</t>
  </si>
  <si>
    <t xml:space="preserve">(q, r, definite)</t>
  </si>
  <si>
    <t xml:space="preserve">collapsed cell + chained observe row</t>
  </si>
  <si>
    <t xml:space="preserve">PoC 3 sealed rule: target prob_mass == 0 AND hex-neighbour &gt;= 0.999 AND distant cell &gt;= 0.999 (local, never global collapse)</t>
  </si>
  <si>
    <t xml:space="preserve">any global collapse path would break the chain-of-probabilities claim</t>
  </si>
  <si>
    <t xml:space="preserve">core.mjs:L274-L287</t>
  </si>
  <si>
    <t xml:space="preserve">exoj-P16</t>
  </si>
  <si>
    <t xml:space="preserve">attachProgram (schedule receipt)</t>
  </si>
  <si>
    <t xml:space="preserve">attaches an 'every' (period/next cursor) or 'at' (one-shot) program to a cell and pushes a chained program_attach row snapshotting the spec — the receipt freezes the schedule at attach time because the live cursor advances on every fire.</t>
  </si>
  <si>
    <t xml:space="preserve">(q, r), spec {id, kind, period|at, action}</t>
  </si>
  <si>
    <t xml:space="preserve">cell.programs entry + chained snapshot row</t>
  </si>
  <si>
    <t xml:space="preserve">the chained spec is a deep copy frozen at attach time</t>
  </si>
  <si>
    <t xml:space="preserve">chaining the live cursor would make history mutate as programs fire</t>
  </si>
  <si>
    <t xml:space="preserve">core.mjs:L289-L302</t>
  </si>
  <si>
    <t xml:space="preserve">exoj-P17</t>
  </si>
  <si>
    <t xml:space="preserve">tick (temporal programs fire)</t>
  </si>
  <si>
    <t xml:space="preserve">advances every touched cell's programs to time t: 'every' fires (and refires by period) as soft jevEmit refreshes tagged program:&lt;id&gt; at alpha=0.2; 'at' fires once and marks done; returns the fired list.</t>
  </si>
  <si>
    <t xml:space="preserve">time t</t>
  </si>
  <si>
    <t xml:space="preserve">fired list + chained program-tagged deform rows</t>
  </si>
  <si>
    <t xml:space="preserve">PoC 7: every-program fires exactly at t in {3,6,9} and at-program exactly once at t=5 by t=10</t>
  </si>
  <si>
    <t xml:space="preserve">programs are amplitude-independent — they tick cell-groups without touching the linear algebra</t>
  </si>
  <si>
    <t xml:space="preserve">core.mjs:L304-L326</t>
  </si>
  <si>
    <t xml:space="preserve">exoj-P18</t>
  </si>
  <si>
    <t xml:space="preserve">sense() (pure field readout)</t>
  </si>
  <si>
    <t xml:space="preserve">pure read: active-cell means of gamma/eta/delta, Sigma, Sigma_normed, max_cell_Sigma, zone fraction (Delta in [0.4,0.6]), prob_open, deformation/observation counts, observers, policy, chain_tip, norms_fired, refusals.</t>
  </si>
  <si>
    <t xml:space="preserve">field state</t>
  </si>
  <si>
    <t xml:space="preserve">sense statistics object</t>
  </si>
  <si>
    <t xml:space="preserve">PoC 1 sealed rule: |Sigma - 1.0| &lt;= 1e-9 AND max_cell_Sigma &lt;= 1 + 1e-9 after balanced writes</t>
  </si>
  <si>
    <t xml:space="preserve">a sense that mutated state would make every read a write</t>
  </si>
  <si>
    <t xml:space="preserve">core.mjs:L328-L354</t>
  </si>
  <si>
    <t xml:space="preserve">exoj-P19</t>
  </si>
  <si>
    <t xml:space="preserve">project (show-your-work slice)</t>
  </si>
  <si>
    <t xml:space="preserve">read-only dependent projection per observer: format exoj-projection-v1, sense, last 12 deformations, last 5 observations, chain_tip, and the non-collapse note — the auditor's first-person log.</t>
  </si>
  <si>
    <t xml:space="preserve">observer name (auto-attends if new)</t>
  </si>
  <si>
    <t xml:space="preserve">projection object</t>
  </si>
  <si>
    <t xml:space="preserve">PoC 6: appends ZERO chain rows and leaves Sigma/prob_open unchanged to 1e-15</t>
  </si>
  <si>
    <t xml:space="preserve">a projecting observer that wrote would turn audit into intervention</t>
  </si>
  <si>
    <t xml:space="preserve">core.mjs:L356-L369</t>
  </si>
  <si>
    <t xml:space="preserve">exoj-P20</t>
  </si>
  <si>
    <t xml:space="preserve">quilt snapshot</t>
  </si>
  <si>
    <t xml:space="preserve">quiltSnapshot() = toDict() of every touched cell — the spatial projection the agent actually sees: rounded amplitudes, strength, prob, last 4 frags, last 3 programs, touched count.</t>
  </si>
  <si>
    <t xml:space="preserve">field cells</t>
  </si>
  <si>
    <t xml:space="preserve">snapshot cell dicts</t>
  </si>
  <si>
    <t xml:space="preserve">untouched cells never appear (the sheet shows only what the wave has visited)</t>
  </si>
  <si>
    <t xml:space="preserve">core.mjs:L371-L373; core.mjs:L108-L117</t>
  </si>
  <si>
    <t xml:space="preserve">exoj-P21</t>
  </si>
  <si>
    <t xml:space="preserve">save (donnable shell v1)</t>
  </si>
  <si>
    <t xml:space="preserve">persists format exoj-shell-v1: sense, quilt snapshot, cells_raw (both seed view and ledger accumulators plus delta_override), deformations, observations, observers, stats, the FULL chain and its tip.</t>
  </si>
  <si>
    <t xml:space="preserve">JSON shell file</t>
  </si>
  <si>
    <t xml:space="preserve">cells_raw carries G/E/D/aSum/n so the ledger policy round-trips exactly</t>
  </si>
  <si>
    <t xml:space="preserve">dropping raw accumulators would lose naturality across a save/load</t>
  </si>
  <si>
    <t xml:space="preserve">core.mjs:L375-L398</t>
  </si>
  <si>
    <t xml:space="preserve">exoj-P22</t>
  </si>
  <si>
    <t xml:space="preserve">load + post-load verification</t>
  </si>
  <si>
    <t xml:space="preserve">ExoJ.load rehydrates the shell (defaulting missing delta_override to null) and the PoC battery re-verifies the chain FROM THE FILE — the reloaded field must prove itself.</t>
  </si>
  <si>
    <t xml:space="preserve">shell file</t>
  </si>
  <si>
    <t xml:space="preserve">rehydrated field</t>
  </si>
  <si>
    <t xml:space="preserve">PoC 8: verifyChain ok from the SAVED file after load; tip identical to in-memory</t>
  </si>
  <si>
    <t xml:space="preserve">a load that skipped chain verification would boot forged history</t>
  </si>
  <si>
    <t xml:space="preserve">core.mjs:L400-L417; experiments/e_x0_pocs.mjs:L167-L189</t>
  </si>
  <si>
    <t xml:space="preserve">exoj-P23</t>
  </si>
  <si>
    <t xml:space="preserve">conservation policy registry</t>
  </si>
  <si>
    <t xml:space="preserve">policy selects the write law: 'seed' (silent renorm + collateral telemetry), 'deferred' (pure sense-time normalisation), 'ledger' (commutative accumulation, crowned by E-X1), 'refuse' (hard per-cell boundary) — four pricing arms over one field.</t>
  </si>
  <si>
    <t xml:space="preserve">policy string at construction</t>
  </si>
  <si>
    <t xml:space="preserve">write-time behaviour</t>
  </si>
  <si>
    <t xml:space="preserve">unrecognised policy simply takes the seed branch (documented default), all four enumerated in the header law</t>
  </si>
  <si>
    <t xml:space="preserve">mixing policies mid-stream would make comparisons meaningless</t>
  </si>
  <si>
    <t xml:space="preserve">core.mjs:L10-L22; core.mjs:L138-L141</t>
  </si>
  <si>
    <t xml:space="preserve">exoj-P24</t>
  </si>
  <si>
    <t xml:space="preserve">JEV backends (soft-only contract)</t>
  </si>
  <si>
    <t xml:space="preserve">classical / jepa / quantum-inspired / cellular-llm backends emit soft vectors into the field — the interface contract, not the field's business, which amplitudes they produce; offline deterministic makeBackend(seed).</t>
  </si>
  <si>
    <t xml:space="preserve">backend name, step</t>
  </si>
  <si>
    <t xml:space="preserve">(g, e, d) soft vector</t>
  </si>
  <si>
    <t xml:space="preserve">PoC 5: 100/100 emissions across 4 backends have Delta in [0.4,0.6] AND |gamma+eta-1| &lt;= 1e-9, read from the chained payloads</t>
  </si>
  <si>
    <t xml:space="preserve">a backend emitting a definite token would violate the soft-only contract</t>
  </si>
  <si>
    <t xml:space="preserve">experiments/e_x0_pocs.mjs:L111-L133; experiments/outputs/ex0_summary.json (p5 block)</t>
  </si>
  <si>
    <t xml:space="preserve">exoj-P25</t>
  </si>
  <si>
    <t xml:space="preserve">decision rules sealed before results</t>
  </si>
  <si>
    <t xml:space="preserve">e_x0 books run.config, then a poc_rules row with the exact PASS expression per POC, and only then computes numbers — receipts BEFORE interpretation; the receipt chain itself is sealed and re-verified from the written file.</t>
  </si>
  <si>
    <t xml:space="preserve">experiment design</t>
  </si>
  <si>
    <t xml:space="preserve">sealed rules rows -&gt; results rows -&gt; verdict rows</t>
  </si>
  <si>
    <t xml:space="preserve">rules rows precede result rows in the chain (structural, chain-ordered); no post-hoc verdicts</t>
  </si>
  <si>
    <t xml:space="preserve">rules written after numbers would make every PASS unfalsifiable</t>
  </si>
  <si>
    <t xml:space="preserve">experiments/e_x0_pocs.mjs:L31-L53; experiments/e_x0_pocs.mjs:L216-L221</t>
  </si>
  <si>
    <t xml:space="preserve">exoj-P26</t>
  </si>
  <si>
    <t xml:space="preserve">verdicts computed from telemetry</t>
  </si>
  <si>
    <t xml:space="preserve">each PoC verdict is a boolean expression over numbers read from the chained events and sense() — never asserted; summary + verdicts persisted to ex0_summary.json with the chain tip.</t>
  </si>
  <si>
    <t xml:space="preserve">results object</t>
  </si>
  <si>
    <t xml:space="preserve">verdict map {p1..p8} + all_pass</t>
  </si>
  <si>
    <t xml:space="preserve">EX0 VERDICT line is 8/8 PASS only if every sealed rule evaluates true AND the chain verifies in memory and from file</t>
  </si>
  <si>
    <t xml:space="preserve">verdicts drafted in advance would be costume, not evidence</t>
  </si>
  <si>
    <t xml:space="preserve">experiments/e_x0_pocs.mjs:L191-L214; experiments/e_x0_pocs.mjs:L246-L249</t>
  </si>
  <si>
    <t xml:space="preserve">fleet-seeds-P01</t>
  </si>
  <si>
    <t xml:space="preserve">seed intake (the hopper mouth)</t>
  </si>
  <si>
    <t xml:space="preserve">seed markdown files (14 in seeds/, from seed1 to seed-story, including the seed-grok2 charter that spawned exoj) are the sole input format: a question written down before any repo exists.</t>
  </si>
  <si>
    <t xml:space="preserve">seeds/*.md</t>
  </si>
  <si>
    <t xml:space="preserve">seed document for spawn</t>
  </si>
  <si>
    <t xml:space="preserve">spawn refuses an existing slug directory ('already exists — pick another slug')</t>
  </si>
  <si>
    <t xml:space="preserve">overwriting an existing lane would destroy a charter of record</t>
  </si>
  <si>
    <t xml:space="preserve">README.md:L21-L27; seedbox.mjs:L74-L75</t>
  </si>
  <si>
    <t xml:space="preserve">fleet-seeds-P02</t>
  </si>
  <si>
    <t xml:space="preserve">charter injection (seed verbatim)</t>
  </si>
  <si>
    <t xml:space="preserve">the CHARTER template wraps the seed unmodified under a fixed header: 'The seed below is the charter of record — it is versioned in this repo's first commit and never edited afterward. Every experiment here must carry its decision rules as receipts dated BEFORE the run.'</t>
  </si>
  <si>
    <t xml:space="preserve">seed text</t>
  </si>
  <si>
    <t xml:space="preserve">README.md of the spawned repo</t>
  </si>
  <si>
    <t xml:space="preserve">seed text embedded verbatim (seed.trim() + newline only) — no editorial rewrite</t>
  </si>
  <si>
    <t xml:space="preserve">a paraphrased charter would let the spawn drift from the asked question</t>
  </si>
  <si>
    <t xml:space="preserve">seedbox.mjs:L9-L37; seedbox.mjs:L77</t>
  </si>
  <si>
    <t xml:space="preserve">fleet-seeds-P03</t>
  </si>
  <si>
    <t xml:space="preserve">house doctrine block</t>
  </si>
  <si>
    <t xml:space="preserve">every spawn inherits five non-optional laws verbatim: paired arms identical worlds; decision rules before the run; counterfactual measurement; honest negatives fail loudly; replayable smoke on every commit.</t>
  </si>
  <si>
    <t xml:space="preserve">charter template</t>
  </si>
  <si>
    <t xml:space="preserve">doctrine section in every spawned README</t>
  </si>
  <si>
    <t xml:space="preserve">all five laws present in the template (structural: template constant)</t>
  </si>
  <si>
    <t xml:space="preserve">a spawn without the doctrine block would repeat the pre-seedbox era of unreceipted scripts</t>
  </si>
  <si>
    <t xml:space="preserve">seedbox.mjs:L20-L31</t>
  </si>
  <si>
    <t xml:space="preserve">fleet-seeds-P04</t>
  </si>
  <si>
    <t xml:space="preserve">CI workflow at birth</t>
  </si>
  <si>
    <t xml:space="preserve">each spawn gets .github/workflows/smoke.yml: node 22, `node smoke.mjs` on push and workflow_dispatch — the repo proves itself before any feature code exists.</t>
  </si>
  <si>
    <t xml:space="preserve">template CI constant</t>
  </si>
  <si>
    <t xml:space="preserve">workflow file in spawn</t>
  </si>
  <si>
    <t xml:space="preserve">a repo whose CI arrives late inherits undocumented breakage</t>
  </si>
  <si>
    <t xml:space="preserve">seedbox.mjs:L39-L49; seedbox.mjs:L79-L80</t>
  </si>
  <si>
    <t xml:space="preserve">fleet-seeds-P05</t>
  </si>
  <si>
    <t xml:space="preserve">smoke contract (count is the contract)</t>
  </si>
  <si>
    <t xml:space="preserve">smoke.mjs template ships three real checks (sha256 of empty string KAT, randomBytes entropy, charter present), prints per-check marks, and the final 'SMOKE OK (n/n checks)' line with exit code is the contract CI enforces.</t>
  </si>
  <si>
    <t xml:space="preserve">spawned repo state</t>
  </si>
  <si>
    <t xml:space="preserve">pass/fail verdict + exit code</t>
  </si>
  <si>
    <t xml:space="preserve">exit 0 iff fail === 0; the printed count is the CI-enforced contract</t>
  </si>
  <si>
    <t xml:space="preserve">a stub smoke with no real check would costume rigor</t>
  </si>
  <si>
    <t xml:space="preserve">seedbox.mjs:L51-L68</t>
  </si>
  <si>
    <t xml:space="preserve">fleet-seeds-P06</t>
  </si>
  <si>
    <t xml:space="preserve">deterministic scaffold + first commit</t>
  </si>
  <si>
    <t xml:space="preserve">spawn() writes README/package.json/CI/smoke/.gitignore/outputs/ then git init + add + commit 'seed: charter committed verbatim — the question is the first receipt' — the first commit is law, before any experiment code.</t>
  </si>
  <si>
    <t xml:space="preserve">seed path, repo slug</t>
  </si>
  <si>
    <t xml:space="preserve">scaffolded repo with 1 commit</t>
  </si>
  <si>
    <t xml:space="preserve">commit message fixed; commit exists before the lane ever runs</t>
  </si>
  <si>
    <t xml:space="preserve">a spawn whose charter commit comes after experiments has no law to appeal to</t>
  </si>
  <si>
    <t xml:space="preserve">seedbox.mjs:L72-L89</t>
  </si>
  <si>
    <t xml:space="preserve">fleet-seeds-P07</t>
  </si>
  <si>
    <t xml:space="preserve">selftest loop (offline dog-food)</t>
  </si>
  <si>
    <t xml:space="preserve">--selftest writes a demo seed, spawns .selftest/, runs its smoke via execSync, prints commit count + 'smoke green -&gt; PASS/FAIL', then removes both artifacts — the seedbox verifies its own germination.</t>
  </si>
  <si>
    <t xml:space="preserve">demo seed string</t>
  </si>
  <si>
    <t xml:space="preserve">selftest verdict, cleaned tree</t>
  </si>
  <si>
    <t xml:space="preserve">PASS iff demo repo has 1 commit AND its smoke output includes 'SMOKE OK'; tree left clean (rmSync of dir + seed)</t>
  </si>
  <si>
    <t xml:space="preserve">a seedbox that could not prove its own spawn would be untrusted scaffolding</t>
  </si>
  <si>
    <t xml:space="preserve">seedbox.mjs:L91-L103</t>
  </si>
  <si>
    <t xml:space="preserve">fleet-seeds-P08</t>
  </si>
  <si>
    <t xml:space="preserve">dispatch contract</t>
  </si>
  <si>
    <t xml:space="preserve">argv dispatch: '--selftest' runs the loop; '&lt;seed&gt; &lt;slug&gt;' spawns; anything else prints usage and exits 1.</t>
  </si>
  <si>
    <t xml:space="preserve">spawn / selftest / usage+exit 1</t>
  </si>
  <si>
    <t xml:space="preserve">wrong arity -&gt; usage line + exit 1 (never a half-spawn)</t>
  </si>
  <si>
    <t xml:space="preserve">a partial spawn on bad args would litter half-scaffolded repos</t>
  </si>
  <si>
    <t xml:space="preserve">seedbox.mjs:L105-L108</t>
  </si>
  <si>
    <t xml:space="preserve">fleet-seeds-P09</t>
  </si>
  <si>
    <t xml:space="preserve">seed-to-charter identity (exoj lineage)</t>
  </si>
  <si>
    <t xml:space="preserve">seeds/seed-grok2.md ('Category-theoretic investigation of the inverted field') appears VERBATIM as the charter in exoj's README — the living proof that spawned repos keep their seed as law, and the direct ancestor link in this decomposition lane (exoj is studied next to it in garden).</t>
  </si>
  <si>
    <t xml:space="preserve">seed-grok2.md</t>
  </si>
  <si>
    <t xml:space="preserve">exoj charter of record</t>
  </si>
  <si>
    <t xml:space="preserve">charter text in the spawned repo == seed text byte-for-byte (verbatim claim checked by reading both)</t>
  </si>
  <si>
    <t xml:space="preserve">a diverged charter would break the chain of custody from question to verdict</t>
  </si>
  <si>
    <t xml:space="preserve">seeds/seed-grok2.md:L1-L8; exoj (sibling work) README.md:L8-L12</t>
  </si>
  <si>
    <t xml:space="preserve">fleet-seeds-P10</t>
  </si>
  <si>
    <t xml:space="preserve">FLEET.md quilt fold map</t>
  </si>
  <si>
    <t xml:space="preserve">the fleet map as mermaid graph — '17 repos, 27 edges. Regenerated by quilt-links.mjs --graph' — with typed edges (grown-on, consumes, related), the structural evidence of who leans on whom.</t>
  </si>
  <si>
    <t xml:space="preserve">fleet repo inventory</t>
  </si>
  <si>
    <t xml:space="preserve">mermaid graph + edge list</t>
  </si>
  <si>
    <t xml:space="preserve">regenerable by tool, not hand-maintained prose</t>
  </si>
  <si>
    <t xml:space="preserve">a hand-edited map would drift from the repos it claims to describe</t>
  </si>
  <si>
    <t xml:space="preserve">FLEET.md:L1-L4</t>
  </si>
  <si>
    <t xml:space="preserve">fleet-seeds-P11</t>
  </si>
  <si>
    <t xml:space="preserve">lode six-stage discovery loop</t>
  </si>
  <si>
    <t xml:space="preserve">scout -&gt; extract -&gt; score -&gt; register -&gt; lane -&gt; fold, each with a law: no claim without a raw receipt file; Elo-scored mines with written reasons; a mine becomes an experiment ONLY when its falsifiable prediction is sealed (sha256 of exact prediction text in mines.jsonl) and the target lane's registration cites the mine id.</t>
  </si>
  <si>
    <t xml:space="preserve">scout receipts, mines.jsonl</t>
  </si>
  <si>
    <t xml:space="preserve">registered, priced mines -&gt; wave queue</t>
  </si>
  <si>
    <t xml:space="preserve">registration requires the sealed prediction hash + mine-id citation (admission into the fleet experiment queue)</t>
  </si>
  <si>
    <t xml:space="preserve">an unsealed 'prediction' would be a post-hoc bet, not a falsifiable one</t>
  </si>
  <si>
    <t xml:space="preserve">lode/PROTOCOL.md:L1-L16</t>
  </si>
  <si>
    <t xml:space="preserve">fleet-seeds-P12</t>
  </si>
  <si>
    <t xml:space="preserve">lode fail-closed validation</t>
  </si>
  <si>
    <t xml:space="preserve">lode_validate.mjs enforces schema + hash + append-only on the ledgers, exit 2 on violation, with tamper self-tests; pre-* snapshot files (registry.jsonl.pre-a13, mines.jsonl.pre-m13 ...) preserve ledger history at each append.</t>
  </si>
  <si>
    <t xml:space="preserve">registry/mines/lessons jsonl</t>
  </si>
  <si>
    <t xml:space="preserve">validation verdict / exit code</t>
  </si>
  <si>
    <t xml:space="preserve">append-only enforced fail-closed (exit 2); tamper self-tests included</t>
  </si>
  <si>
    <t xml:space="preserve">a rewritten ledger would erase what the fleet predicted and what happened</t>
  </si>
  <si>
    <t xml:space="preserve">lode/PROTOCOL.md:L13; lode/registry.jsonl.pre-pong49 (snapshot files in tree)</t>
  </si>
  <si>
    <t xml:space="preserve">fleet-seeds-P13</t>
  </si>
  <si>
    <t xml:space="preserve">Tap Tavern (sealed discourse)</t>
  </si>
  <si>
    <t xml:space="preserve">'Not a chat room — a ledger': every round is sealed with the Stone (stone-v1 forward format), every voice speaks only from receipted artifacts, every claim carries refs a verifier can check; predictions/answers/ledger per round (round-11, round-12, ...).</t>
  </si>
  <si>
    <t xml:space="preserve">round predictions + model answers</t>
  </si>
  <si>
    <t xml:space="preserve">sealed round ledgers + summaries</t>
  </si>
  <si>
    <t xml:space="preserve">every claim carries verifier-checkable refs (house rules header)</t>
  </si>
  <si>
    <t xml:space="preserve">unsealed rounds would let the fleet argue from memory instead of record</t>
  </si>
  <si>
    <t xml:space="preserve">tavern/TAVERN.md:L1-L7</t>
  </si>
  <si>
    <t xml:space="preserve">fleet-seeds-P14</t>
  </si>
  <si>
    <t xml:space="preserve">cross-chain witness rollup (46-e)</t>
  </si>
  <si>
    <t xml:space="preserve">rollup.mjs walks EVERY chain the fleet owns (remote chains fetched at pinned commit shas labeled LIVE; local files labeled FIXTURE), emits one witness receipt per chain using the wave-44 grammar, parents them into ONE wave-46 witness chain, then verifies that chain with the UNMODIFIED wave-44 module in-process AND via its CLI.</t>
  </si>
  <si>
    <t xml:space="preserve">all fleet chains</t>
  </si>
  <si>
    <t xml:space="preserve">one parented witness chain + per-chain receipts</t>
  </si>
  <si>
    <t xml:space="preserve">exit 0 IFF every target verified AND the wave-46 chain verifies (with the unmodified verifier — no verifier drift allowed)</t>
  </si>
  <si>
    <t xml:space="preserve">verifying with a patched verifier would let the rollup bless its own output</t>
  </si>
  <si>
    <t xml:space="preserve">playtest/wave46/witness-rollout/rollup.mjs:L1-L13</t>
  </si>
  <si>
    <t xml:space="preserve">fleet-seeds-P15</t>
  </si>
  <si>
    <t xml:space="preserve">tool verification battery (wave 45)</t>
  </si>
  <si>
    <t xml:space="preserve">zero-dependency, node:crypto-only, offline-only tools: verify-fleet.mjs (kept untouched, additive imports only), truncate-audit.mjs (tests EVERY byte offset 0..len-1 of every chain for truncate resistance), moth-seal, wal-conformance — each with its own .test.mjs.</t>
  </si>
  <si>
    <t xml:space="preserve">fleet chain files</t>
  </si>
  <si>
    <t xml:space="preserve">per-tool verdicts + receipts</t>
  </si>
  <si>
    <t xml:space="preserve">all artifacts offline only, zero deps, no keys (WAVE45 header law); truncate audit is exhaustive per byte offset</t>
  </si>
  <si>
    <t xml:space="preserve">a networked or keyed tool would not be runnable by any stranger at audit time</t>
  </si>
  <si>
    <t xml:space="preserve">tools/WAVE45.md:L1-L13</t>
  </si>
  <si>
    <t xml:space="preserve">fleet-seeds-P16</t>
  </si>
  <si>
    <t xml:space="preserve">registry of predictions (fleet memory)</t>
  </si>
  <si>
    <t xml:space="preserve">registry.jsonl rows: {set_id, repo, commit, predictions, verdict, verdict_commit, registration_ref, ts} — every pre-registered prediction set across the repos, its verdict commit and status; append-only, sampled rows show JEPA-R4/R5 PASS with seal refs.</t>
  </si>
  <si>
    <t xml:space="preserve">verdict commits across repos</t>
  </si>
  <si>
    <t xml:space="preserve">append-only registry rows</t>
  </si>
  <si>
    <t xml:space="preserve">append-only (enforced by P12's validator); each row cites its registration seal</t>
  </si>
  <si>
    <t xml:space="preserve">editing a verdict row would rewrite the fleet's memory of its own bets</t>
  </si>
  <si>
    <t xml:space="preserve">lode/registry.jsonl:L1-L2</t>
  </si>
  <si>
    <t xml:space="preserve">quilt-murmur-P01</t>
  </si>
  <si>
    <t xml:space="preserve">murmur envelope {topic, from, p, n, ttl}</t>
  </si>
  <si>
    <t xml:space="preserve">The irreducible gossip atom: what is whispered, by whom, at what belief p, with what evidence mass n, living ttl rounds; provenance v3 adds optional origin (null = I made this).</t>
  </si>
  <si>
    <t xml:space="preserve">sender belief p, sender id, topic, evidence mass n</t>
  </si>
  <si>
    <t xml:space="preserve">live murmur row (snapshotted into the provenance log)</t>
  </si>
  <si>
    <t xml:space="preserve">p and n must be finite numbers</t>
  </si>
  <si>
    <t xml:space="preserve">pre-fix: NaN p/n poisoned the WHOLE topic (posterior NaN or silent 0.5); now loud throws at the boundary</t>
  </si>
  <si>
    <t xml:space="preserve">murmur/bus.mjs:L6-L12,L37-L53</t>
  </si>
  <si>
    <t xml:space="preserve">quilt-murmur-P02</t>
  </si>
  <si>
    <t xml:space="preserve">fnv1a64 witness chain (seal/verify)</t>
  </si>
  <si>
    <t xml:space="preserve">The fleet canon receipt idiom ported verbatim: append-only hash chain, sealChain stamps row_hash = hash(prev, row-minus-hash), verifyChain re-derives and fails with at/why.</t>
  </si>
  <si>
    <t xml:space="preserve">sealed receipt chain, ok/at/why verdict</t>
  </si>
  <si>
    <t xml:space="preserve">every row must carry row_hash matching re-derivation from genesis</t>
  </si>
  <si>
    <t xml:space="preserve">any byte edited anywhere in the chain breaks verification at that seq (hash mismatch)</t>
  </si>
  <si>
    <t xml:space="preserve">murmur/receipts.mjs:L5-L37</t>
  </si>
  <si>
    <t xml:space="preserve">quilt-murmur-P03</t>
  </si>
  <si>
    <t xml:space="preserve">entropy vault: harvest once, stretch honestly</t>
  </si>
  <si>
    <t xml:space="preserve">MOTH_KEY env-only; one quantum harvest fills a bit pool; streamFor derives per-seed sub-streams by two-stage cross-key counter mode (E17 receipted avalanche fix); without a key it degrades to a deterministic LABELED mock — a mock never pretends to be quantum.</t>
  </si>
  <si>
    <t xml:space="preserve">MOTH_KEY (env, optional), harvest shots</t>
  </si>
  <si>
    <t xml:space="preserve">bit pool + poolDigest, per-key uniform streams, journal rows tagged mock:true/false</t>
  </si>
  <si>
    <t xml:space="preserve">liveJobs hard cap maxLiveJobs; offline/budget refusal yields labeled mock, never silent</t>
  </si>
  <si>
    <t xml:space="preserve">pre-fix naive counter stream returned near-constant draws (0.595442, 0.595441...) silently degenerating downstream tests</t>
  </si>
  <si>
    <t xml:space="preserve">murmur/moth.mjs:L1-L16,L87-L134,L147-L155</t>
  </si>
  <si>
    <t xml:space="preserve">quilt-murmur-P04</t>
  </si>
  <si>
    <t xml:space="preserve">trust-weighted log-odds pooling (logarithmic opinion pool)</t>
  </si>
  <si>
    <t xml:space="preserve">pulse() ages murmurs, groups per topic, computes L = sum w_i*n_i*logit(p_i), posterior = sigmoid(L/W) with p clamped to [0.02,0.98]; also emits voices, agreement (1 - dispersion), dominant, trustMean. Static MurmurBus.pool mirrors the sheet formulas for verification.</t>
  </si>
  <si>
    <t xml:space="preserve">live murmurs, trust weights</t>
  </si>
  <si>
    <t xml:space="preserve">Map topic -&gt; {posterior, voices, agreement, dominant, trustMean}</t>
  </si>
  <si>
    <t xml:space="preserve">W &gt; 0 else posterior = 0.5; influence mass W is the pool's conservation denominator</t>
  </si>
  <si>
    <t xml:space="preserve">empty-topic or all-zero-trust topic would silently read 0.5 (documented default, not hidden)</t>
  </si>
  <si>
    <t xml:space="preserve">murmur/bus.mjs:L24-L26,L55-L92,L97-L106</t>
  </si>
  <si>
    <t xml:space="preserve">quilt-murmur-P05</t>
  </si>
  <si>
    <t xml:space="preserve">Hedge fixed-share trust update</t>
  </si>
  <si>
    <t xml:space="preserve">w_i &lt;- ((1-alpha)w_i + alpha/N) * exp(eta*r_i), softmax-stabilized, normalized; fixed-share forgets regime flips so a factor that turns bad loses its crown; per-step weight snapshots recorded.</t>
  </si>
  <si>
    <t xml:space="preserve">reward Map id -&gt; r in [0,1]</t>
  </si>
  <si>
    <t xml:space="preserve">normalized weight Map, history snapshot</t>
  </si>
  <si>
    <t xml:space="preserve">weights always renormalized to sum 1 (mass conserved); rewards clamped to [0,1]</t>
  </si>
  <si>
    <t xml:space="preserve">without fixed-share, trust saturates and a turned factor keeps its crown forever (header comment)</t>
  </si>
  <si>
    <t xml:space="preserve">murmur/trust.mjs:L6-L12,L48-L70</t>
  </si>
  <si>
    <t xml:space="preserve">quilt-murmur-P06</t>
  </si>
  <si>
    <t xml:space="preserve">zero-trust quarantine for free</t>
  </si>
  <si>
    <t xml:space="preserve">weight(id) returns 0 for unknown senders; a zero-weight murmur contributes 0*logit = 0 to L and 0 to W — nexus's quarantine needs no code, it falls out of the pool.</t>
  </si>
  <si>
    <t xml:space="preserve">sender id</t>
  </si>
  <si>
    <t xml:space="preserve">weight (0 if unknown)</t>
  </si>
  <si>
    <t xml:space="preserve">murmur/trust.mjs:L43-L45; murmur/bus.mjs:L72-L76</t>
  </si>
  <si>
    <t xml:space="preserve">quilt-murmur-P07</t>
  </si>
  <si>
    <t xml:space="preserve">entropy + leader readouts</t>
  </si>
  <si>
    <t xml:space="preserve">Normalized Shannon entropy of the weight vector (low = the mesh has opinions) and leader() = argmax weight with margin — the scalars the gardener and experiments consume.</t>
  </si>
  <si>
    <t xml:space="preserve">current weights</t>
  </si>
  <si>
    <t xml:space="preserve">H in [0,1], {id, w, margin}</t>
  </si>
  <si>
    <t xml:space="preserve">murmur/trust.mjs:L75-L88</t>
  </si>
  <si>
    <t xml:space="preserve">quilt-murmur-P08</t>
  </si>
  <si>
    <t xml:space="preserve">novelty-edge extraction (value + jump evidence)</t>
  </si>
  <si>
    <t xml:space="preserve">A |dv| &gt; edgeTheta crossing records {t, v, prev, jump} — a copier reproduces the same jump to the same value; honest eyes sharing a regime do NOT share error timings. Only novelty has direction (E19 finding #0).</t>
  </si>
  <si>
    <t xml:space="preserve">per-sender quantized p history</t>
  </si>
  <si>
    <t xml:space="preserve">per-sender edge lists (pruned to attribution window)</t>
  </si>
  <si>
    <t xml:space="preserve">raw content matching brands the SOURCE an echo of its own plagiarist (autocorrelation is direction-symmetric) — the receipted reason edges carry value+jump</t>
  </si>
  <si>
    <t xml:space="preserve">murmur/provenance.mjs:L13-L29,L83-L98</t>
  </si>
  <si>
    <t xml:space="preserve">quilt-murmur-P09</t>
  </si>
  <si>
    <t xml:space="preserve">relay-first verification (declared origin)</t>
  </si>
  <si>
    <t xml:space="preserve">If a murmur declares an origin and its content matches that origin's history at some lag with rate &gt;= confirm, it is a RELAY — checked before any plagiarism scan: a verified claim beats content suspicion; relaying is legal range extension.</t>
  </si>
  <si>
    <t xml:space="preserve">origin claim, sender history, origin history</t>
  </si>
  <si>
    <t xml:space="preserve">tag 'relay'</t>
  </si>
  <si>
    <t xml:space="preserve">matchRate(origin, L) &gt;= 0.8 for some L in 1..maxLag, and origin != self</t>
  </si>
  <si>
    <t xml:space="preserve">declaring a FALSE origin fails content verification (only verifies against the declared origin's own history)</t>
  </si>
  <si>
    <t xml:space="preserve">murmur/provenance.mjs:L25-L29,L121-L130; PROTOCOL-V3.md:L29-L36</t>
  </si>
  <si>
    <t xml:space="preserve">quilt-murmur-P10</t>
  </si>
  <si>
    <t xml:space="preserve">echo conviction by edge-precedence rate + mirror guard</t>
  </si>
  <si>
    <t xml:space="preserve">j echoes k iff &gt;= minEdges of j's edges value+jump-align to k's at consistent lag L, alignment RATE &gt;= 0.8 over the window, content corroborates at (k,L), and k does not echo j at any lag at least as strongly (mirror guard); copy-of-copy re-attributes to the root of the chain.</t>
  </si>
  <si>
    <t xml:space="preserve">edge lists of all senders, content histories</t>
  </si>
  <si>
    <t xml:space="preserve">tag 'echo' + {of, lag, rate}</t>
  </si>
  <si>
    <t xml:space="preserve">aligned &gt;= minEdges AND rate &gt;= confirmEdges(0.8) AND rate &gt; reverse-best AND content &gt;= confirm(0.8)</t>
  </si>
  <si>
    <t xml:space="preserve">edge COUNT convicts innocents (dense error trains + equal levels, E19 finding #1); without the mirror guard the COPY SOURCE gets crushed (E21 receipted a1MFrac 0.021)</t>
  </si>
  <si>
    <t xml:space="preserve">murmur/provenance.mjs:L132-L194; murmur/admission.mjs:L149-L156</t>
  </si>
  <si>
    <t xml:space="preserve">quilt-murmur-P11</t>
  </si>
  <si>
    <t xml:space="preserve">dup detection (honest redundancy)</t>
  </si>
  <si>
    <t xml:space="preserve">Flat content (sd &lt;= dupSigma) that also matches someone's past is DUP: two equal eyes colliding at p~0.5 get influence x0.5 and NO trust penalty — the asymmetry prefers dup over echo when evidence is ambiguous because false-dup harm is bounded.</t>
  </si>
  <si>
    <t xml:space="preserve">sender window sd, content match-rates</t>
  </si>
  <si>
    <t xml:space="preserve">tag 'dup' or 'clean'</t>
  </si>
  <si>
    <t xml:space="preserve">sd &lt;= dupSigma(0.02) AND matchRate(id2, L) &gt;= confirm for some peer/lag</t>
  </si>
  <si>
    <t xml:space="preserve">false dup costs only the correlation itself (pooled votes barely move when merged)</t>
  </si>
  <si>
    <t xml:space="preserve">murmur/provenance.mjs:L44-L50,L196-L208; PROTOCOL-V3.md:L44-L53</t>
  </si>
  <si>
    <t xml:space="preserve">quilt-murmur-P12</t>
  </si>
  <si>
    <t xml:space="preserve">influence re-attribution (tags -&gt; weights)</t>
  </si>
  <si>
    <t xml:space="preserve">Raw trust becomes pool influence per tag: echo x0.15, dup x0.5, relay = epsRelay x trust(origin), clean = own. The sheet's pool formulas never change — provenance only changes what weights ARRIVE at the w.* cells.</t>
  </si>
  <si>
    <t xml:space="preserve">raw weight Map, current tags, murmurs</t>
  </si>
  <si>
    <t xml:space="preserve">influence Map (pool inputs)</t>
  </si>
  <si>
    <t xml:space="preserve">sheet inference math stays pure by construction (v3 doctrine one layer deeper); verified byte-identical 480/480</t>
  </si>
  <si>
    <t xml:space="preserve">murmur/provenance.mjs:L39-L41,L241-L252; PROTOCOL-V3.md:L84-L89</t>
  </si>
  <si>
    <t xml:space="preserve">quilt-murmur-P13</t>
  </si>
  <si>
    <t xml:space="preserve">state-level echo penalty with floor (absorb path)</t>
  </si>
  <si>
    <t xml:space="preserve">Confirmed plagiarists' trust is multiplied by (1-0.15)/round while convicted, floored at 0.02, renormalized, and written back into the learner via absorb so the penalty persists across rounds and re-earns through the normal Hedge path; tags unstick when copying stops (72/72 reformed).</t>
  </si>
  <si>
    <t xml:space="preserve">weight Map, current tags</t>
  </si>
  <si>
    <t xml:space="preserve">penalized, renormalized weight Map</t>
  </si>
  <si>
    <t xml:space="preserve">penalized weight floored at floor=0.02 — never zeroed (reform must remain possible)</t>
  </si>
  <si>
    <t xml:space="preserve">permanent branding would make a reformed plagiarist unrecoverable; tags are re-reviewed every round</t>
  </si>
  <si>
    <t xml:space="preserve">murmur/provenance.mjs:L254-L267,L213-L232; murmur/trust.mjs:L34-L41</t>
  </si>
  <si>
    <t xml:space="preserve">quilt-murmur-P14</t>
  </si>
  <si>
    <t xml:space="preserve">fractional per-murmur attribution (v3.1)</t>
  </si>
  <si>
    <t xml:space="preserve">Continuous echo-score s_j (EWMA of corroborated alignment rate, mirror-guarded) times a value-novelty term: m = (1-s_j)*(alpha + (1-alpha)*n_j); influence = w*min(m, tagCap). The novelty term reacts in round one of copying; the echo-score needs ~2 novelty events — complementary in time. Receipted limit: correctness is RELATIVE (copiers sink below honest voices), never absolute.</t>
  </si>
  <si>
    <t xml:space="preserve">edge lists, present murmurs, raw weights, hard tags</t>
  </si>
  <si>
    <t xml:space="preserve">per-murmur multiplier m and influence</t>
  </si>
  <si>
    <t xml:space="preserve">infl = w * min(m, tagCap) — hard tag caps the extreme, soft score does the fine grading</t>
  </si>
  <si>
    <t xml:space="preserve">value-novelty is direction-blind: the copied SOURCE also loses novelty while copies exist; direction lives in s_j only (admission.mjs header)</t>
  </si>
  <si>
    <t xml:space="preserve">murmur/admission.mjs:L15-L36,L248-L277</t>
  </si>
  <si>
    <t xml:space="preserve">quilt-murmur-P15</t>
  </si>
  <si>
    <t xml:space="preserve">cold-start admission gate</t>
  </si>
  <si>
    <t xml:space="preserve">Joiners are PROBATIONARY (influence x epsNew=0.15) until age &gt;= admitWindow(40) AND &gt;= minEdgesIndep(2) independent novelty edges (independence fixed at edge-creation time: a later matcher would be the copier, not the source) AND mean |p - pooled| &lt;= admitErr(0.5) during probation.</t>
  </si>
  <si>
    <t xml:space="preserve">firstSeen age, independent edge count, probation deviation mean</t>
  </si>
  <si>
    <t xml:space="preserve">admitAt round or continued probation</t>
  </si>
  <si>
    <t xml:space="preserve">age &gt;= 40 AND indepEdges &gt;= 2 AND devMean &lt;= 0.5, else influence stays x epsNew</t>
  </si>
  <si>
    <t xml:space="preserve">a pure-noise joiner passes independence (edges echo nobody) — the HedgeTrust outcome learner demotes it; admission gates IDENTITY economics, not competence; E35 showed a patient sleeper can walk through probation honestly and flip after admission</t>
  </si>
  <si>
    <t xml:space="preserve">murmur/admission.mjs:L38-L49,L196-L206,L209-L219; experiments/e35_sleeper.mjs:L1-L24</t>
  </si>
  <si>
    <t xml:space="preserve">quilt-murmur-P16</t>
  </si>
  <si>
    <t xml:space="preserve">aggregate probationary influence cap (sybil flood-breaker)</t>
  </si>
  <si>
    <t xml:space="preserve">Total probationary influence mass per round is capped at capShare=0.10 of the round total via closed-form fixed-point redistribution; no number of fresh copies can buy more than capShare of the vote no matter how their trust was bootstrapped.</t>
  </si>
  <si>
    <t xml:space="preserve">influence Map, probationary id list</t>
  </si>
  <si>
    <t xml:space="preserve">rescaled influence Map (total mass preserved), capBoundRounds counter</t>
  </si>
  <si>
    <t xml:space="preserve">P &lt;= capShare*Z enforced exactly (post-cap share = capShare), then uniform renormalize back to Z</t>
  </si>
  <si>
    <t xml:space="preserve">capShare is PROBATION-ONLY economics: E33 receipted 48 sybils legitimately ADMITTED (copying an uncorroborated founder reads as independent), after which the cap no longer applies and share hits 0.136</t>
  </si>
  <si>
    <t xml:space="preserve">murmur/admission.mjs:L44-L49,L279-L300; experiments/outputs/e33_summary.json</t>
  </si>
  <si>
    <t xml:space="preserve">quilt-murmur-P17</t>
  </si>
  <si>
    <t xml:space="preserve">founder acclamation (D1 genesis rule)</t>
  </si>
  <si>
    <t xml:space="preserve">Senders present at the FIRST observe() round are admitted at round 1, never probationary: admission prices UNKNOWN mid-stream joiners; the genesis crowd is constitutive. Receipted grounds: honest relays would strand forever (their edges are echoes of their origin by design) and taxing the first ~100 rounds buys no anti-sybil gain.</t>
  </si>
  <si>
    <t xml:space="preserve">observe() round counter, coldStart flag</t>
  </si>
  <si>
    <t xml:space="preserve">admitAt = 1 for genesis crowd</t>
  </si>
  <si>
    <t xml:space="preserve">present at round 1 AND coldStart -&gt; admitted by acclamation</t>
  </si>
  <si>
    <t xml:space="preserve">sybils present AT genesis are trust's problem (E17/E19 territory), not admission's — boundary honestly drawn</t>
  </si>
  <si>
    <t xml:space="preserve">murmur/admission.mjs:L51-L60,L130-L133</t>
  </si>
  <si>
    <t xml:space="preserve">quilt-murmur-P18</t>
  </si>
  <si>
    <t xml:space="preserve">hard-tag backstop caps</t>
  </si>
  <si>
    <t xml:space="preserve">The per-sender hard tags remain CAPS on the extremes while the fractional layer does fine grading: echo caps at epsEcho 0.15, dup at 0.5, clean at 1; verified relays keep pure provenance semantics and are NEVER judged by the independence bar (a relay's evidence is by construction echoed).</t>
  </si>
  <si>
    <t xml:space="preserve">Provenance tagOf(id), fractional multiplier m</t>
  </si>
  <si>
    <t xml:space="preserve">final influence = w * min(m, tagCap)</t>
  </si>
  <si>
    <t xml:space="preserve">min(m, tagCap) — soft layer can only lower, hard tag bounds the worst case</t>
  </si>
  <si>
    <t xml:space="preserve">per-SENDER hard tags are coarse: everything a convicted sender says is x epsEcho until it reforms</t>
  </si>
  <si>
    <t xml:space="preserve">murmur/admission.mjs:L31-L36,L261-L271</t>
  </si>
  <si>
    <t xml:space="preserve">quilt-murmur-P19</t>
  </si>
  <si>
    <t xml:space="preserve">whisper boundary fail-safes (gauntlet fixes)</t>
  </si>
  <si>
    <t xml:space="preserve">Non-finite p/n throw at the envelope boundary; the provenance log stores a SNAPSHOT of each envelope because pulse() decays ttl in place on shared references (receipted: log silently aged with the live queue).</t>
  </si>
  <si>
    <t xml:space="preserve">whisper arguments</t>
  </si>
  <si>
    <t xml:space="preserve">live murmur + immutable log row</t>
  </si>
  <si>
    <t xml:space="preserve">Number.isFinite(p) &amp;&amp; Number.isFinite(n) else throw</t>
  </si>
  <si>
    <t xml:space="preserve">pre-fix: one bad voice silently destroyed every other voice's evidence (NaN L) and the provenance log aged with live state</t>
  </si>
  <si>
    <t xml:space="preserve">murmur/bus.mjs:L38-L52,L97-L98</t>
  </si>
  <si>
    <t xml:space="preserve">quilt-murmur-P20</t>
  </si>
  <si>
    <t xml:space="preserve">gardener meta-bandit under a hard credit budget</t>
  </si>
  <si>
    <t xml:space="preserve">epsilon-greedy over bold/steady/timid policies; each reads vitals (r, H, regretDr, alive) and writes temperature, prune floor, spawn decision, graft aggression; spawning spends credits (refill 0.5/round, cap 8), each policy has a distinct credit floor (bold&gt;=1, steady&gt;=2, timid&gt;=3) and alive &lt; maxBranches.</t>
  </si>
  <si>
    <t xml:space="preserve">r, H, regretDr, alive, credits</t>
  </si>
  <si>
    <t xml:space="preserve">{policy, temp, pruneFloor, spawn, graftAggr}</t>
  </si>
  <si>
    <t xml:space="preserve">spawn only if alive &lt; maxBranches AND credits &gt;= policy floor AND world-signal condition</t>
  </si>
  <si>
    <t xml:space="preserve">pre-fix floors (&gt;0/1/2) let fractional refills drive credits NEGATIVE (receipted: bold at 0.5 spawned to -0.9) — the hard budget leaked</t>
  </si>
  <si>
    <t xml:space="preserve">murmur/gardener.mjs:L9-L27,L45-L75,L84-L86</t>
  </si>
  <si>
    <t xml:space="preserve">quilt-murmur-P21</t>
  </si>
  <si>
    <t xml:space="preserve">spreader: branch / prune / graft</t>
  </si>
  <si>
    <t xml:space="preserve">branch = copy base factor estimates with Irwin-Hall jitter from the branch's own vault stream (grafted ids override jitter — the fruit moves intact); prune = kill worst-ranked branches whose last-place streak exceeds floorStreak, at most maxDead per generation; graftPlan transplants the factors the mesh trusts most (trust guides the knife).</t>
  </si>
  <si>
    <t xml:space="preserve">base estimates Map, per-branch rng, trust weights, streak/rank stats</t>
  </si>
  <si>
    <t xml:space="preserve">branch id + seed + estimates, doomed list, graft plan</t>
  </si>
  <si>
    <t xml:space="preserve">prune: streak &gt;= floorStreak, ranked worst, capped at maxDead (2) per generation</t>
  </si>
  <si>
    <t xml:space="preserve">graft cycles silently corrupt topology (handled at tree level, P22); unbounded prune would erase diversity</t>
  </si>
  <si>
    <t xml:space="preserve">murmur/spreader.mjs:L21-L78</t>
  </si>
  <si>
    <t xml:space="preserve">quilt-murmur-P22</t>
  </si>
  <si>
    <t xml:space="preserve">tree operators: subtree graft with cycle rejection, pure candidate views</t>
  </si>
  <si>
    <t xml:space="preserve">E23's lift: scoreTree T = wq*discounted leaf quality + wc*canopyResonance + wd*lineageDiversity - ws*mean(depth^2)/budget evaluated on CLONED views (no mutation); graftSubtree re-roots a subtree shifting depths, pruneSubtree kills node+descent and eases siblings' failing streaks; illegal re-roots throw, candidate views return null.</t>
  </si>
  <si>
    <t xml:space="preserve">tree view snapshots, qualityFn, candidate topology</t>
  </si>
  <si>
    <t xml:space="preserve">scored candidate {T, r, leafMean, div}, grafted/pruned tree</t>
  </si>
  <si>
    <t xml:space="preserve">graft target must NOT be inside the moving subtree (cycle) — throw in graftSubtree, null in graftView; accept iff T rises</t>
  </si>
  <si>
    <t xml:space="preserve">pre-fix re-rooting into one's own subtree hung rootPath()/lineageDiversity() FOREVER (receipted child-process repro)</t>
  </si>
  <si>
    <t xml:space="preserve">murmur/tree_ops.mjs:L54-L99,L110-L136</t>
  </si>
  <si>
    <t xml:space="preserve">quilt-murmur-P23</t>
  </si>
  <si>
    <t xml:space="preserve">Kuramoto resonance (agreement as physics)</t>
  </si>
  <si>
    <t xml:space="preserve">Each branch is an oscillator (phase = opinion, omega = drift); coupling = endorsement agreement; order parameter r = |mean(e^{i-theta})| is the scalar a meta-cell reads. Receipted honesty: r is a lie detector (Delta = -0.141, 19/20 seeds), NOT an accuracy meter (corr ~ 0, null receipted).</t>
  </si>
  <si>
    <t xml:space="preserve">phases, omegas, agreement matrix</t>
  </si>
  <si>
    <t xml:space="preserve">r trajectory, order parameter</t>
  </si>
  <si>
    <t xml:space="preserve">r must EARN its keep: corr(r_t, future regret) receipted each run; gating trust on r HURTS (E22 corollary)</t>
  </si>
  <si>
    <t xml:space="preserve">a mesh can be coherently wrong — reading r-levels instead of r-drops mistakes consensus for truth</t>
  </si>
  <si>
    <t xml:space="preserve">murmur/resonance.mjs:L13-L21,L33-L58; README.md:L56-L58</t>
  </si>
  <si>
    <t xml:space="preserve">quilt-murmur-P24</t>
  </si>
  <si>
    <t xml:space="preserve">founder-velocity guard (v3.2 candidate, experiment-local)</t>
  </si>
  <si>
    <t xml:space="preserve">Watches each ENTRENCHED voice's reward trajectory: longRun = EWMA_0.01, recent = EWMA_0.08; trip on gap &gt; 0.15 for 8 rounds PLUS a wrong-side band test (recent reward &lt; 0.45, between toxic 0.375 and honest &gt;= 0.5 asymptotes); while tripped, absorb a per-round x0.85 multiplier. First lever acting on WHAT a voice says, not where it came from. E31: trips 8/8 seeds (median 25 rounds post-turn), ZERO false trips, reaches 0.25x demotion 88.5 rounds faster.</t>
  </si>
  <si>
    <t xml:space="preserve">per-voice reward stream, entrench age &gt;= 100</t>
  </si>
  <si>
    <t xml:space="preserve">trip/hold/untrip action + penalty rounds</t>
  </si>
  <si>
    <t xml:space="preserve">EWMA gap &gt; delta(0.15) for k(8) rounds AND recent &lt; recentCeil(0.45), only for entrenched voices; untrip at gap &lt; 0.10</t>
  </si>
  <si>
    <t xml:space="preserve">protocol layers are founder-blind to self-authored values (E27: the 0.25x bar NEVER reached within 250 post-turn rounds without the guard); guard was receipted against a HARDER generator than E27's mislabeled one (E31 generator receipt)</t>
  </si>
  <si>
    <t xml:space="preserve">experiments/e31_founder_guard.mjs:L1-L66,L156-L196; experiments/outputs/e31_summary.json; README.md:L137-L146</t>
  </si>
  <si>
    <t xml:space="preserve">quilt-murmur-P25</t>
  </si>
  <si>
    <t xml:space="preserve">the sheet pattern (repo-as-sheet, seasonal loop)</t>
  </si>
  <si>
    <t xml:space="preserve">env.* sensors -&gt; ex{i}.b{X} endorsement cells -&gt; br{X}.* branches -&gt; t.f* trust cells -&gt; mesh.scar listener reflex -&gt; gardener -&gt; receipts.jsonl; the seasonal loop sense -&gt; infer -&gt; elect -&gt; pay -&gt; learn; reflexes write their own memory (engine.get on a program re-executes it — receipted engine lesson).</t>
  </si>
  <si>
    <t xml:space="preserve">loadSheet cell definitions, vault-elected picks</t>
  </si>
  <si>
    <t xml:space="preserve">a runnable mesh sheet (smoke sheet: 6 cells, ~140 cells in E14)</t>
  </si>
  <si>
    <t xml:space="preserve">dotted-prefix law, listener caller.metadata contract, CellValue unwrap, multi-char ids — four receipted engine lessons are load-bearing conventions</t>
  </si>
  <si>
    <t xml:space="preserve">bare `current` in listener conditions is silently undefined; 1-char ids corrupt candidate ids after formula compilation</t>
  </si>
  <si>
    <t xml:space="preserve">MESH.md:L112-L133,L144-L164; experiments/smoke.mjs:L16-L30</t>
  </si>
  <si>
    <t xml:space="preserve">quilt-murmur-P26</t>
  </si>
  <si>
    <t xml:space="preserve">smoke gate (CI-first one-pass verification)</t>
  </si>
  <si>
    <t xml:space="preserve">16 checks across engine, bus, trust, spreader, resonance, gardener, vault statistics, receipts, and the full provenance lifecycle (relay verified, echo convicted, source clean, influence discounted, conviction unsticks) — runs first, exits nonzero on any fail.</t>
  </si>
  <si>
    <t xml:space="preserve">all five primitives + provenance</t>
  </si>
  <si>
    <t xml:space="preserve">SMOKE OK / SMOKE FAILED (n)</t>
  </si>
  <si>
    <t xml:space="preserve">fails === 0 else exit(1)</t>
  </si>
  <si>
    <t xml:space="preserve">any primitive regression blocks CI before experiments can manufacture numbers</t>
  </si>
  <si>
    <t xml:space="preserve">experiments/smoke.mjs:L13-L102 (run 2026: 16/16 pass)</t>
  </si>
  <si>
    <t xml:space="preserve">quilt-murmur-P27</t>
  </si>
  <si>
    <t xml:space="preserve">experiment receipt summaries (verdict history)</t>
  </si>
  <si>
    <t xml:space="preserve">Every E-experiment lands a *_summary.json + receipts_*.jsonl in experiments/outputs: E17 gossip trust + echo vulnerability, E21 admission (sybShareSpin 0.069 -&gt; 0.010, verify 200/200), E31 guard, E33 flood, E35 sleeper, E37 trust lane — the verdict ledger this decomposition reads.</t>
  </si>
  <si>
    <t xml:space="preserve">paired-arm experiment runs (identical worlds, same seeds)</t>
  </si>
  <si>
    <t xml:space="preserve">machine-readable verdict JSON per experiment</t>
  </si>
  <si>
    <t xml:space="preserve">E21 receipted a metric bug: a denominator error MANUFACTURED a copy-source conviction (0.0208 = 0.25/13) that forensics dissolved — summaries record their own corrections</t>
  </si>
  <si>
    <t xml:space="preserve">experiments/outputs/e17_summary.json,e21_summary.json,e31_summary.json,e33_summary.json,e35_summary.json,e37_summary.json (inspected)</t>
  </si>
  <si>
    <t xml:space="preserve">quilt-murmur-P28</t>
  </si>
  <si>
    <t xml:space="preserve">in-run equivalence verifications</t>
  </si>
  <si>
    <t xml:space="preserve">The sheet's pooled cells are checked against reference math at sampled rounds every run: E14 pool✗=0, E16 maxDiff 0 over 4000 rounds, E17 4800/4800 at 1e-9, E19 480/480 across arms, E21 verify 200/200; full reruns bit-exact 4/4 — the pool digest is the reproducible universe handle.</t>
  </si>
  <si>
    <t xml:space="preserve">sheet formulas, MurmurBus.pool reference</t>
  </si>
  <si>
    <t xml:space="preserve">checks/pass counts in summaries</t>
  </si>
  <si>
    <t xml:space="preserve">sheet pooling must equal reference math byte-for-byte or the run is invalid</t>
  </si>
  <si>
    <t xml:space="preserve">a Math.random-fed vault diverges at round 0 (E34) — determinism is productivity itself</t>
  </si>
  <si>
    <t xml:space="preserve">MESH.md:L60-L63; README.md:L70-L71,L164-L166; experiments/outputs/e21_summary.json (verify.checks 200, pass 200)</t>
  </si>
  <si>
    <t xml:space="preserve">quilt-pincher-P01</t>
  </si>
  <si>
    <t xml:space="preserve">the pinch envelope</t>
  </si>
  <si>
    <t xml:space="preserve">Input atom: {trigger, context?, safety?} — a raw trigger string plus optional context and safety hints (sandbox/network/filesystem/timeoutMs) that the veto will check against the reflex's own constraints.</t>
  </si>
  <si>
    <t xml:space="preserve">trigger string, context object, SafetyHints</t>
  </si>
  <si>
    <t xml:space="preserve">Pinch record</t>
  </si>
  <si>
    <t xml:space="preserve">src/core/types.ts:L13-L32</t>
  </si>
  <si>
    <t xml:space="preserve">quilt-pincher-P02</t>
  </si>
  <si>
    <t xml:space="preserve">the reflex record</t>
  </si>
  <si>
    <t xml:space="preserve">Learned pattern: {id, embedding, intent, action, safety, confidence, hits, createdAt, lastHitAt, provenance?} — the unit stored, scored, and executed; provenance records who compiled it and (optionally) its parent reflex.</t>
  </si>
  <si>
    <t xml:space="preserve">compiled intent + action, embedding vector, safety constraints</t>
  </si>
  <si>
    <t xml:space="preserve">Reflex stored in the reflex store</t>
  </si>
  <si>
    <t xml:space="preserve">src/core/types.ts:L35-L56</t>
  </si>
  <si>
    <t xml:space="preserve">quilt-pincher-P03</t>
  </si>
  <si>
    <t xml:space="preserve">brute-force cosine reflex store with upstream federation</t>
  </si>
  <si>
    <t xml:space="preserve">MemoryReflexStore scores every entry by cosine similarity and returns top-k; up to ~10K reflexes this beats an HNSW index because the search fits in L2; an optional upstream store mirrors every insert/delete (the federation hook).</t>
  </si>
  <si>
    <t xml:space="preserve">query embedding, k, reflex entries</t>
  </si>
  <si>
    <t xml:space="preserve">top-k {reflex, score} list</t>
  </si>
  <si>
    <t xml:space="preserve">cosine returns 0 on dimension mismatch (never throws mid-match)</t>
  </si>
  <si>
    <t xml:space="preserve">dimension-mismatched embeddings silently score 0 (safe but invisible without an audit cell)</t>
  </si>
  <si>
    <t xml:space="preserve">src/adapters/memory-store.ts:L1-L57,L59-L68</t>
  </si>
  <si>
    <t xml:space="preserve">quilt-pincher-P04</t>
  </si>
  <si>
    <t xml:space="preserve">trigger embedding (pluggable embedder)</t>
  </si>
  <si>
    <t xml:space="preserve">run() step 1: embed(pinch.trigger); three implementations — CloudflareAIEmbedder (remote), QuiltAIEmbedder, OfflineEmbedder — plus HashEmbedder, a deterministic character-histogram embedder for tests/demos/offline use.</t>
  </si>
  <si>
    <t xml:space="preserve">trigger text</t>
  </si>
  <si>
    <t xml:space="preserve">normalized vector</t>
  </si>
  <si>
    <t xml:space="preserve">hash embedder is semantic-free: two different triggers can collide; fine for tests, not for production matching</t>
  </si>
  <si>
    <t xml:space="preserve">src/core/engine.ts:L38-L39,L189-L200; src/adapters/embedding-adapter.ts:L12-L35</t>
  </si>
  <si>
    <t xml:space="preserve">quilt-pincher-P05</t>
  </si>
  <si>
    <t xml:space="preserve">top-5 match query</t>
  </si>
  <si>
    <t xml:space="preserve">run() step 2: store.query(embedding, 5) — the reflex database is consulted before anything else; empty results fall through to the compile tier.</t>
  </si>
  <si>
    <t xml:space="preserve">query embedding</t>
  </si>
  <si>
    <t xml:space="preserve">ranked candidate reflexes</t>
  </si>
  <si>
    <t xml:space="preserve">src/core/engine.ts:L41-L42</t>
  </si>
  <si>
    <t xml:space="preserve">quilt-pincher-P06</t>
  </si>
  <si>
    <t xml:space="preserve">three-way tier router</t>
  </si>
  <si>
    <t xml:space="preserve">Routing law: matches[0].score &lt; confirmThreshold -&gt; compile tier; &gt;= hitThreshold -&gt; direct execute (FAST); else confirm-and-execute (MEDIUM). The tier is returned in the result kind so latency budgets are observable per pinch.</t>
  </si>
  <si>
    <t xml:space="preserve">top match score, hitThreshold, confirmThreshold</t>
  </si>
  <si>
    <t xml:space="preserve">route to executeDirectly | confirmAndExecute | compileAndStore</t>
  </si>
  <si>
    <t xml:space="preserve">score &gt;= 0.80 for direct hit; 0.55 &lt;= score &lt; 0.80 for confirm</t>
  </si>
  <si>
    <t xml:space="preserve">an embedding drift that drops all scores below 0.55 silently converts every pinch into an LLM compile (cost spike) — threshold tuning is operational policy</t>
  </si>
  <si>
    <t xml:space="preserve">src/core/engine.ts:L35-L57; README.md:L62-L66</t>
  </si>
  <si>
    <t xml:space="preserve">quilt-pincher-P07</t>
  </si>
  <si>
    <t xml:space="preserve">reflex execution with timeout</t>
  </si>
  <si>
    <t xml:space="preserve">The reflex's action string is evaluated as an async JS expression via new Function with the pinch in scope, raced against a 5s executionTimeoutMs; failures become 'Execution failed: ...' errors.</t>
  </si>
  <si>
    <t xml:space="preserve">reflex.action, pinch context</t>
  </si>
  <si>
    <t xml:space="preserve">output value or thrown error</t>
  </si>
  <si>
    <t xml:space="preserve">Promise.race against executionTimeoutMs (default 5000) — a hung reflex cannot hang the engine</t>
  </si>
  <si>
    <t xml:space="preserve">HONEST RISK (comment in code): 'In production this would be sandboxed' — today the action runs unsandboxed via eval-in-Function; the veto checks declared hints, not real effects</t>
  </si>
  <si>
    <t xml:space="preserve">src/core/engine.ts:L121-L136</t>
  </si>
  <si>
    <t xml:space="preserve">quilt-pincher-P08</t>
  </si>
  <si>
    <t xml:space="preserve">confidence climb (logarithmic hit economics)</t>
  </si>
  <si>
    <t xml:space="preserve">Every executed reflex bumps hits and lastHitAt and recomputes confidence = min(0.99, 0.5 + 0.49*log10(1+hits)) — trust in a reflex grows with reuse and saturates below certainty.</t>
  </si>
  <si>
    <t xml:space="preserve">reflex id (from store)</t>
  </si>
  <si>
    <t xml:space="preserve">updated reflex (hits, lastHitAt, confidence)</t>
  </si>
  <si>
    <t xml:space="preserve">confidence clamped to [0.5 start, 0.99 ceiling] — invariant band</t>
  </si>
  <si>
    <t xml:space="preserve">confidence measures FREQUENCY not CORRECTNESS: a confidently wrong reflex that keeps matching climbs the same curve</t>
  </si>
  <si>
    <t xml:space="preserve">src/core/engine.ts:L138-L147</t>
  </si>
  <si>
    <t xml:space="preserve">quilt-pincher-P09</t>
  </si>
  <si>
    <t xml:space="preserve">compile-and-store (the LLM as compiler)</t>
  </si>
  <si>
    <t xml:space="preserve">SLOW tier: compiler.compile(pinch) returns {intent, action}; the new reflex is created at confidence 0.5 with provenance compiledBy:'compiler', veto-checked, inserted, then executed once for the caller — future identical pinches hit the FAST tier.</t>
  </si>
  <si>
    <t xml:space="preserve">unmatched pinch, Compiler implementation</t>
  </si>
  <si>
    <t xml:space="preserve">new Reflex persisted, compiled result</t>
  </si>
  <si>
    <t xml:space="preserve">veto check runs on the FRESH reflex before insert+execute (a compiled reflex can be born vetoed)</t>
  </si>
  <si>
    <t xml:space="preserve">without a compiler configured the tier returns an error result rather than hallucinating an action (fail-closed)</t>
  </si>
  <si>
    <t xml:space="preserve">src/core/engine.ts:L92-L119</t>
  </si>
  <si>
    <t xml:space="preserve">quilt-pincher-P10</t>
  </si>
  <si>
    <t xml:space="preserve">veto gate (safety before execution)</t>
  </si>
  <si>
    <t xml:space="preserve">DefaultVeto compares the pinch's SafetyHints to the reflex's declared constraints and refuses escalation: pinch wants network 'any' but reflex is restricted -&gt; refused; pinch wants filesystem 'any' but reflex restricted -&gt; refused; pinch wants sandbox 'none' but reflex requires wasm -&gt; refused. Every tier (hit/confirm/compiled) passes through it.</t>
  </si>
  <si>
    <t xml:space="preserve">reflex.safety, pinch.safety</t>
  </si>
  <si>
    <t xml:space="preserve">{ok: true} | {ok: false, reason}</t>
  </si>
  <si>
    <t xml:space="preserve">no execution without veto.ok — refusal reason becomes the result's 'vetoed' kind</t>
  </si>
  <si>
    <t xml:space="preserve">the default veto compares DECLARED hints only; an action that lies about its needs is not caught at this layer</t>
  </si>
  <si>
    <t xml:space="preserve">src/core/engine.ts:L63-L71,L202-L217</t>
  </si>
  <si>
    <t xml:space="preserve">quilt-pincher-P11</t>
  </si>
  <si>
    <t xml:space="preserve">tier thresholds as configuration</t>
  </si>
  <si>
    <t xml:space="preserve">hitThreshold (0.80) and confirmThreshold (0.55) are constructor policy — the same engine can be tuned more paranoid (raise both) or more reflexive (lower them) without code changes.</t>
  </si>
  <si>
    <t xml:space="preserve">PincherConfig</t>
  </si>
  <si>
    <t xml:space="preserve">engine routing policy</t>
  </si>
  <si>
    <t xml:space="preserve">thresholds are read once at construction — mid-flight policy changes are not possible (deterministic per engine instance)</t>
  </si>
  <si>
    <t xml:space="preserve">src/core/engine.ts:L24-L32; src/core/types.ts:L92-L103</t>
  </si>
  <si>
    <t xml:space="preserve">quilt-pincher-P12</t>
  </si>
  <si>
    <t xml:space="preserve">no-compiler fail-closed path</t>
  </si>
  <si>
    <t xml:space="preserve">If the match fails and no Compiler is configured (the ESP32/offline case), run() returns {kind:'error', error:'No match and no compiler configured'} — the engine never invents an action it cannot source.</t>
  </si>
  <si>
    <t xml:space="preserve">empty/weak matches, compiler presence</t>
  </si>
  <si>
    <t xml:space="preserve">error PinchResult with latencyMs</t>
  </si>
  <si>
    <t xml:space="preserve">compile tier requires this.compiler !== undefined</t>
  </si>
  <si>
    <t xml:space="preserve">on the edge this surfaces as an error result rather than a silent fallback — visible in the result stream</t>
  </si>
  <si>
    <t xml:space="preserve">src/core/engine.ts:L43-L48,L93-L96</t>
  </si>
  <si>
    <t xml:space="preserve">quilt-pincher-P13</t>
  </si>
  <si>
    <t xml:space="preserve">PincherSheet descriptor (engine as cells)</t>
  </si>
  <si>
    <t xml:space="preserve">PincherSheet(config) builds the engine AND declares the six cells {pinch:formula, match:program, execute:program, veto:listener, compile:ai, store:vector_store} with descriptions — the sheet is the public architecture diagram, loadable into any QuiltEngine.</t>
  </si>
  <si>
    <t xml:space="preserve">PincherSheetConfig</t>
  </si>
  <si>
    <t xml:space="preserve">{name, engine, cells descriptor}</t>
  </si>
  <si>
    <t xml:space="preserve">HONEST GAP: the descriptor declares the cells but runPinch still drives sheet.engine.run directly — the cell graph is the architecture contract, not yet the execution path</t>
  </si>
  <si>
    <t xml:space="preserve">src/cells/sheet.ts:L37-L57</t>
  </si>
  <si>
    <t xml:space="preserve">quilt-pincher-P14</t>
  </si>
  <si>
    <t xml:space="preserve">.nail bundle export + ESP32 loadNail</t>
  </si>
  <si>
    <t xml:space="preserve">exportNail(name, tier) packages agent state {version, reflexes, vetoRules, compileHistory, metadata}; buildNail produces the EmbeddedNail and ESP32Engine.loadNail boots an offline engine from it — reflexes become available with no LLM and no network.</t>
  </si>
  <si>
    <t xml:space="preserve">engine state, tier label</t>
  </si>
  <si>
    <t xml:space="preserve">NailBundle / EmbeddedNail, booted ESP32Engine</t>
  </si>
  <si>
    <t xml:space="preserve">HONEST GAP: exportNail returns allReflexes() which is currently a demo stub returning [] (engine.ts:L155-L160) — bundles exported through this path are empty; esp32's buildNail is the working path</t>
  </si>
  <si>
    <t xml:space="preserve">src/core/engine.ts:L154-L182; src/platforms/esp32.ts:L18-L36,L71; src/index.ts:L36-L39</t>
  </si>
  <si>
    <t xml:space="preserve">quilt-pincher-P15</t>
  </si>
  <si>
    <t xml:space="preserve">platform sheets (cloud / workstation / esp32 defaults)</t>
  </si>
  <si>
    <t xml:space="preserve">cloudSheet, workstationSheet (SQLite + sqlite-vec), esp32Sheet (in-memory, no LLM) return the same sheet with tier-appropriate stores and embedders — one code path, three compute tiers, matching the README's latency table.</t>
  </si>
  <si>
    <t xml:space="preserve">tier choice</t>
  </si>
  <si>
    <t xml:space="preserve">configured PincherSheet</t>
  </si>
  <si>
    <t xml:space="preserve">src/index.ts:L36-L39; README.md:L37-L45</t>
  </si>
  <si>
    <t xml:space="preserve">quilt-pincher-P16</t>
  </si>
  <si>
    <t xml:space="preserve">node:test suite (12 checks)</t>
  </si>
  <si>
    <t xml:space="preserve">test/reflex.test.ts covers direct hit, trigger variation, confirm tier, compile tier with a mock compiler, veto refusals, confidence climb, sheet composition, and the three platform sheets incl. .nail loading — the repo's dog-food gate.</t>
  </si>
  <si>
    <t xml:space="preserve">PincherEngine + MemoryReflexStore + HashEmbedder + DefaultVeto</t>
  </si>
  <si>
    <t xml:space="preserve">pass/fail per check (12/12 on run)</t>
  </si>
  <si>
    <t xml:space="preserve">assert.equal(result.kind, 'hit') etc. — tier outcomes are the contract</t>
  </si>
  <si>
    <t xml:space="preserve">repo ships without node_modules/dist; tests need tsx from a sibling checkout (local-only workaround used for this audit)</t>
  </si>
  <si>
    <t xml:space="preserve">test/reflex.test.ts:L10-L72; package.json scripts</t>
  </si>
  <si>
    <t xml:space="preserve">quilt-pincher-P17</t>
  </si>
  <si>
    <t xml:space="preserve">result kinds + latency telemetry</t>
  </si>
  <si>
    <t xml:space="preserve">Every run returns a discriminated PinchResult — hit | confirm | compiled | vetoed | error — each carrying latencyMs measured from pinch start; the tier, the reason, and the cost are always observable downstream.</t>
  </si>
  <si>
    <t xml:space="preserve">run() outcome</t>
  </si>
  <si>
    <t xml:space="preserve">{kind, reflex?, output?, reason?, latencyMs}</t>
  </si>
  <si>
    <t xml:space="preserve">latencyMs recorded on EVERY outcome incl. errors and vetoes</t>
  </si>
  <si>
    <t xml:space="preserve">a vetoed or errored pinch still consumes the embedding call — latency telemetry shows it but does not refund it</t>
  </si>
  <si>
    <t xml:space="preserve">src/core/types.ts:L59-L64; src/core/engine.ts:L35-L61</t>
  </si>
  <si>
    <t xml:space="preserve">quilt-pincher-P18</t>
  </si>
  <si>
    <t xml:space="preserve">embedder degradation ladder</t>
  </si>
  <si>
    <t xml:space="preserve">Embedder implementations form a degradation ladder: CloudflareAIEmbedder (network + key), QuiltAIEmbedder (quilt-ai), OfflineEmbedder, HashEmbedder — the same sheet runs with or without keys because the embedder is an interface, not a service.</t>
  </si>
  <si>
    <t xml:space="preserve">text, optional provider credentials</t>
  </si>
  <si>
    <t xml:space="preserve">vector</t>
  </si>
  <si>
    <t xml:space="preserve">switching embedders changes the geometry: reflexes embedded by one model do not cosine-match queries embedded by another (store must be re-embedded)</t>
  </si>
  <si>
    <t xml:space="preserve">src/adapters/embedding-adapter.ts:L12-L35; src/index.ts:L29</t>
  </si>
  <si>
    <t xml:space="preserve">crab-traps-P01</t>
  </si>
  <si>
    <t xml:space="preserve">canonicalJson (deterministic serialization)</t>
  </si>
  <si>
    <t xml:space="preserve">Compact JSON with object keys sorted by Unicode code point, integers rendered bare, non-finite numbers rejected — the one canonicalization shared by sealing, verification, and the plaque seal; parse-of-canonical-text is a fixed point so recomputation reproduces INSERT-time hashes exactly.</t>
  </si>
  <si>
    <t xml:space="preserve">any JSON value</t>
  </si>
  <si>
    <t xml:space="preserve">canonical string</t>
  </si>
  <si>
    <t xml:space="preserve">non-finite numbers and unknown types throw (not canonically serializable) — the POST path turns this into a 400</t>
  </si>
  <si>
    <t xml:space="preserve">known hazard (documented): JS cannot distinguish 40 from 40.0 after parsing — the relay stays self-consistent by sealing and re-verifying with this one function</t>
  </si>
  <si>
    <t xml:space="preserve">worker/src/edge-ledger.ts:L37-L80</t>
  </si>
  <si>
    <t xml:space="preserve">crab-traps-P02</t>
  </si>
  <si>
    <t xml:space="preserve">edge seal = sha256 over the sealed fields minus chain</t>
  </si>
  <si>
    <t xml:space="preserve">SEALED_FIELDS = [v, cell, ts, before, after, delta, imbalance, provenance]; `chain` is excluded — it points AT a seal, it is not part of one (same rule as hash(e) over e minus its hash).</t>
  </si>
  <si>
    <t xml:space="preserve">EdgeInput (validated)</t>
  </si>
  <si>
    <t xml:space="preserve">64-hex edge_hash</t>
  </si>
  <si>
    <t xml:space="preserve">sealing the chain field itself would make verification circular; exclusion is the whole design</t>
  </si>
  <si>
    <t xml:space="preserve">worker/src/edge-ledger.ts:L33-L35,L87-L95</t>
  </si>
  <si>
    <t xml:space="preserve">crab-traps-P03</t>
  </si>
  <si>
    <t xml:space="preserve">chain-validated append (POST /edge)</t>
  </si>
  <si>
    <t xml:space="preserve">Before insert: fetch the cell's latest edge; if one exists, the incoming edge MUST carry chain === prior edge_hash, else 409 'chain broken' with expected_head and prior_ts disclosed; genesis appends (no prior) record whatever chain was sent.</t>
  </si>
  <si>
    <t xml:space="preserve">validated edge, cell's prior head</t>
  </si>
  <si>
    <t xml:space="preserve">stored row, chain_head in response</t>
  </si>
  <si>
    <t xml:space="preserve">e.chain === prior.edge_hash for non-genesis appends — a missing or stale link is refused, never auto-healed</t>
  </si>
  <si>
    <t xml:space="preserve">a producer that guesses the head (cross-language canonicalization drift) gets 409 with the expected head instead of a forked ledger</t>
  </si>
  <si>
    <t xml:space="preserve">worker/src/edge-ledger.ts:L241-L279</t>
  </si>
  <si>
    <t xml:space="preserve">crab-traps-P04</t>
  </si>
  <si>
    <t xml:space="preserve">one edge per (cell, ts)</t>
  </si>
  <si>
    <t xml:space="preserve">The D1 primary key makes duplicate (cell, ts) inserts fail; the handler maps the constraint violation to a 409 'duplicate edge' — identical replays cannot double-write history.</t>
  </si>
  <si>
    <t xml:space="preserve">INSERT result</t>
  </si>
  <si>
    <t xml:space="preserve">409 duplicate edge | 201 appended</t>
  </si>
  <si>
    <t xml:space="preserve">UNIQUE/PRIMARY KEY violation -&gt; duplicate refused</t>
  </si>
  <si>
    <t xml:space="preserve">an attacker replaying a captured edge changes nothing; they only learn the edge existed</t>
  </si>
  <si>
    <t xml:space="preserve">worker/src/edge-ledger.ts:L282-L298,L314-L326</t>
  </si>
  <si>
    <t xml:space="preserve">crab-traps-P05</t>
  </si>
  <si>
    <t xml:space="preserve">verify walk with first_break forensics</t>
  </si>
  <si>
    <t xml:space="preserve">GET /edges?verify=1 walks the window oldest-first, recomputing each seal from stored canonical columns and checking each chain link to the prior seal; the first mismatch (seal or link) is reported with ts, stored vs recomputed — tampering is loud AND located.</t>
  </si>
  <si>
    <t xml:space="preserve">stored rows (newest-first)</t>
  </si>
  <si>
    <t xml:space="preserve">reconcile.chain_intact, reconcile.first_break</t>
  </si>
  <si>
    <t xml:space="preserve">every recomputed seal must equal the stored edge_hash AND every chain link must equal the prior seal</t>
  </si>
  <si>
    <t xml:space="preserve">the window's oldest chain link points outside the slice and is reported, not checked — bounded-scan honesty</t>
  </si>
  <si>
    <t xml:space="preserve">worker/src/edge-ledger.ts:L191-L205,L376-L399</t>
  </si>
  <si>
    <t xml:space="preserve">crab-traps-P06</t>
  </si>
  <si>
    <t xml:space="preserve">D1 migrations (the ledger's skeleton)</t>
  </si>
  <si>
    <t xml:space="preserve">Seven migrations build the reef's spine: catches, reef, vector edges, edge ledger, breeding, arena sessions, breeding opt-out — the whole world is replicated SQLite at the edge, no server state elsewhere.</t>
  </si>
  <si>
    <t xml:space="preserve">SQL migration files</t>
  </si>
  <si>
    <t xml:space="preserve">D1 schema</t>
  </si>
  <si>
    <t xml:space="preserve">worker/migrations/0001_catches.sql ... 0007_breeding_opt_out.sql (listed)</t>
  </si>
  <si>
    <t xml:space="preserve">crab-traps-P07</t>
  </si>
  <si>
    <t xml:space="preserve">watermark queue (wake-and-poll contract)</t>
  </si>
  <si>
    <t xml:space="preserve">GET /queue?since= serves edges OLDEST-FIRST in chain order with a watermark and has_more, so a waking cortex replays exactly the ledger order and drains until the synapse is empty — the limb never blocks, the brain never listens.</t>
  </si>
  <si>
    <t xml:space="preserve">since watermark, optional cell filter</t>
  </si>
  <si>
    <t xml:space="preserve">edges in chain order, watermark, has_more</t>
  </si>
  <si>
    <t xml:space="preserve">replay out of chain order would desynchronize a cortex; oldest-first is the contract</t>
  </si>
  <si>
    <t xml:space="preserve">worker/src/edge-ledger.ts:L1-L8,L421-L479</t>
  </si>
  <si>
    <t xml:space="preserve">crab-traps-P08</t>
  </si>
  <si>
    <t xml:space="preserve">body-size budget gate</t>
  </si>
  <si>
    <t xml:space="preserve">Both /edge and settlement gate on declared content-length AND actual body length (100,000 bytes) BEFORE parsing — the DoS posture is 'bodies are tiny by contract', enforced pre-parse.</t>
  </si>
  <si>
    <t xml:space="preserve">request headers, raw body</t>
  </si>
  <si>
    <t xml:space="preserve">413 body too large | parse continues</t>
  </si>
  <si>
    <t xml:space="preserve">declaredLength &gt; MAX AND raw.length &gt; MAX both checked before JSON.parse</t>
  </si>
  <si>
    <t xml:space="preserve">a lying content-length header cannot smuggle a giant body past the second check</t>
  </si>
  <si>
    <t xml:space="preserve">worker/src/edge-ledger.ts:L19-L21,L214-L235; worker/src/settlement.ts:L24-L26</t>
  </si>
  <si>
    <t xml:space="preserve">crab-traps-P09</t>
  </si>
  <si>
    <t xml:space="preserve">plaque seal (disclosure as a hash)</t>
  </si>
  <si>
    <t xml:space="preserve">The nine-field arena plaque is sealed with plaqueSeal() = sha256 of its canonical JSON — the SAME primitive as an edge seal — so a stranger re-derives the seal exactly as they re-derive an edge; wording changes rotate the seal.</t>
  </si>
  <si>
    <t xml:space="preserve">PLAQUE (nine fixed fields)</t>
  </si>
  <si>
    <t xml:space="preserve">plaque_seal hex string</t>
  </si>
  <si>
    <t xml:space="preserve">any plaque wording change rotates the seal and revokes every ticket derived from it</t>
  </si>
  <si>
    <t xml:space="preserve">quiet disclosure edits are impossible: old tickets die with the old seal, forcing re-acknowledgment</t>
  </si>
  <si>
    <t xml:space="preserve">worker/src/arena.ts:L19-L33,L54-L66</t>
  </si>
  <si>
    <t xml:space="preserve">crab-traps-P10</t>
  </si>
  <si>
    <t xml:space="preserve">ack handshake (consent admission)</t>
  </si>
  <si>
    <t xml:space="preserve">POST /arena/enter requires body.ack === plaque_seal (case-insensitive) plus a sanitized player tag; mismatch returns plaque_ack_mismatch with a hint; on success a consent receipt row is written to D1 BEFORE the tank opens — no receipt, no arena.</t>
  </si>
  <si>
    <t xml:space="preserve">ack string, player tag, plaque seal</t>
  </si>
  <si>
    <t xml:space="preserve">arena_sessions row + ticket | plaque_ack_mismatch</t>
  </si>
  <si>
    <t xml:space="preserve">ack must equal the current plaque seal; consent receipt persisted before any arena content is served</t>
  </si>
  <si>
    <t xml:space="preserve">an agent that never acknowledged gets the tarpit — observation, artifacts and breeding all live BEHIND the ack</t>
  </si>
  <si>
    <t xml:space="preserve">worker/src/arena.ts:L97-L160; README.md ARENA section</t>
  </si>
  <si>
    <t xml:space="preserve">crab-traps-P11</t>
  </si>
  <si>
    <t xml:space="preserve">capability ticket derived from player + seal</t>
  </si>
  <si>
    <t xml:space="preserve">ticket = sha256Hex('arena:' + player + ':' + seal) — stateless capability binding the player to the plaque generation; stored with the consent receipt.</t>
  </si>
  <si>
    <t xml:space="preserve">player tag, plaque_seal</t>
  </si>
  <si>
    <t xml:space="preserve">ticket hex</t>
  </si>
  <si>
    <t xml:space="preserve">stateless by design: revocation happens by rotating the seal, not by a revocation list</t>
  </si>
  <si>
    <t xml:space="preserve">worker/src/arena.ts:L132-L140</t>
  </si>
  <si>
    <t xml:space="preserve">crab-traps-P12</t>
  </si>
  <si>
    <t xml:space="preserve">settlement admission rules (the tavern rule)</t>
  </si>
  <si>
    <t xml:space="preserve">Settled credits are admitted only under pre-priced rules: amounts strictly positive (a negative 'earn' is a sign-flip mint and is refused), kinds must be registered in CREDIT_RATES (nothing earnable or spendable that was not priced before the fact), the running balance never goes negative (compute is bought with earned credits, never on credit), bounded to 100 entries per settlement.</t>
  </si>
  <si>
    <t xml:space="preserve">SettlementInput {player, entries[]}</t>
  </si>
  <si>
    <t xml:space="preserve">validated settlement | 4xx with named error</t>
  </si>
  <si>
    <t xml:space="preserve">amount &gt; 0 AND kind in CREDIT_RATES AND balance + delta &gt;= 0 AND entries &lt;= 100</t>
  </si>
  <si>
    <t xml:space="preserve">an unpriced kind or a negative amount cannot enter the ledger at any price — the economy cannot be inflated by new verbs</t>
  </si>
  <si>
    <t xml:space="preserve">worker/src/settlement.ts:L10-L26</t>
  </si>
  <si>
    <t xml:space="preserve">crab-traps-P13</t>
  </si>
  <si>
    <t xml:space="preserve">double-entry conservation (before + signed delta === after)</t>
  </si>
  <si>
    <t xml:space="preserve">Every settled edge is balanced by construction (imbalance = 0) and sealed with the same relay contract; the client names only player + entries — balances, cell, delta, imbalance, chain and seal are computed server-side and returned as the new chain head.</t>
  </si>
  <si>
    <t xml:space="preserve">prior balance (carried in as prior edge's after), signed entries</t>
  </si>
  <si>
    <t xml:space="preserve">balanced sealed edge, new chain head</t>
  </si>
  <si>
    <t xml:space="preserve">before + signed === after on every edge — a stranger recomputes the balance from the stream alone (the claim SCN-001 exists to attack)</t>
  </si>
  <si>
    <t xml:space="preserve">a forged balance that skips a delta breaks the chain link OR the recomputed seal — double trap</t>
  </si>
  <si>
    <t xml:space="preserve">worker/src/settlement.ts:L16-L19,L36-L44</t>
  </si>
  <si>
    <t xml:space="preserve">crab-traps-P14</t>
  </si>
  <si>
    <t xml:space="preserve">world minting (N=5 object, N=12 room, idempotent)</t>
  </si>
  <si>
    <t xml:space="preserve">On the 5th catch in a room, mint an object named from the catches' most frequent capitalized non-stopword noun; on the 12th, spawn a neighboring room from the best catch fragment, edge included, provenance-linked; created_from_catch is UNIQUE and inserts are OR IGNORE.</t>
  </si>
  <si>
    <t xml:space="preserve">catch payloads, room catch counts</t>
  </si>
  <si>
    <t xml:space="preserve">objects / rooms rows with provenance</t>
  </si>
  <si>
    <t xml:space="preserve">mint thresholds are fixed constants; duplicate mints are no-ops (idempotent by UNIQUE + OR IGNORE)</t>
  </si>
  <si>
    <t xml:space="preserve">no double-mint on replay; the world grows exactly once per trigger catch</t>
  </si>
  <si>
    <t xml:space="preserve">worker/src/mint.ts:L1-L10</t>
  </si>
  <si>
    <t xml:space="preserve">crab-traps-P15</t>
  </si>
  <si>
    <t xml:space="preserve">per-IP rate limiter (bounded in-memory LRU)</t>
  </si>
  <si>
    <t xml:space="preserve">A per-isolate RateLimiter (LRU) throttles abusive clients at the edge; bounded memory means the limiter itself cannot be inflated into a DoS vector.</t>
  </si>
  <si>
    <t xml:space="preserve">client IP</t>
  </si>
  <si>
    <t xml:space="preserve">allow | 429</t>
  </si>
  <si>
    <t xml:space="preserve">bounded LRU — eviction, not growth</t>
  </si>
  <si>
    <t xml:space="preserve">per-isolate scope: limits reset on worker relocation (edge honesty, not a global quota)</t>
  </si>
  <si>
    <t xml:space="preserve">worker/src/index-helpers.ts:L107-L116</t>
  </si>
  <si>
    <t xml:space="preserve">crab-traps-P16</t>
  </si>
  <si>
    <t xml:space="preserve">independent second-reader walker (stone-v1 + witness law)</t>
  </si>
  <si>
    <t xml:space="preserve">A walker written FROM THE LAW with zero shared code (spec read-only: stone-v1.mjs, witness.mjs): row 0 must be stone.header, genesis fixed, row_hash = sha256(canonicalJSON([prev, row-without-row_hash])), annotation rows never advance the tip, witness receipts chain parent-to-id from GENESIS. Pure on injected bytes — no network, no writes.</t>
  </si>
  <si>
    <t xml:space="preserve">stone chain bytes, witness receipt bytes, pin table</t>
  </si>
  <si>
    <t xml:space="preserve">AGREE | DISAGREE per claim</t>
  </si>
  <si>
    <t xml:space="preserve">a second reader must not trust the first reader's engine — or even its helper functions</t>
  </si>
  <si>
    <t xml:space="preserve">any byte flip in a stone, receipt, artifact, prediction or fixture forces DISAGREE (T1-T8 controls)</t>
  </si>
  <si>
    <t xml:space="preserve">worker/src/arena-scenarios-003-two-reader-walker.mjs:L1-L40</t>
  </si>
  <si>
    <t xml:space="preserve">crab-traps-P17</t>
  </si>
  <si>
    <t xml:space="preserve">47b fail-closed self-test (12 controls)</t>
  </si>
  <si>
    <t xml:space="preserve">The repo's own tamper-trap gate: 8 negative controls (each tampered in memory), 1 positive control, 3 CLI-level controls exercising the runner end-to-end in --offline mode against a throwaway fetched-root; exits nonzero unless every negative disagrees and the positive agrees.</t>
  </si>
  <si>
    <t xml:space="preserve">fleet-seeds checkout (READ-ONLY byte source)</t>
  </si>
  <si>
    <t xml:space="preserve">PASS lines per control, self-test receipt JSON</t>
  </si>
  <si>
    <t xml:space="preserve">ALL controls must behave as designed (negative -&gt; DISAGREE, positive -&gt; AGREE, clean CLI -&gt; exit 0) else fail-closed</t>
  </si>
  <si>
    <t xml:space="preserve">a walker that agrees with tampered bytes (or disagrees with clean bytes) is broken — the suite IS the trap inspection</t>
  </si>
  <si>
    <t xml:space="preserve">worker/scripts/47b-self-test.mjs:L1-L24; run verdict 12/12 PASS</t>
  </si>
  <si>
    <t xml:space="preserve">crab-traps-P18</t>
  </si>
  <si>
    <t xml:space="preserve">genealogy endpoints (provenance you can walk)</t>
  </si>
  <si>
    <t xml:space="preserve">GET /lineage/room/:id returns the room's genealogy; every room and object knows which catch minted it — provenance is queryable, nothing exists a player did not cause; /wander serves the human front door with one command driving both MUD pane and scene.</t>
  </si>
  <si>
    <t xml:space="preserve">room/object ids, catch provenance rows</t>
  </si>
  <si>
    <t xml:space="preserve">lineage JSON, rendered MUD + scene state</t>
  </si>
  <si>
    <t xml:space="preserve">worker/src/reef.ts:L1-L14; README.md:L69-L71,L98-L100</t>
  </si>
  <si>
    <t xml:space="preserve">crab-traps-P19</t>
  </si>
  <si>
    <t xml:space="preserve">dials dashboard (sealed field reads, degrade never 502)</t>
  </si>
  <si>
    <t xml:space="preserve">GET /dials renders the elephant's sealed field reads straight out of the edge ledger (reading -&gt; ledger -&gt; display, no client JS, 5s meta refresh); drift is the ledger's own imbalance series and unscored edges are excluded — never faked; D1 trouble degrades instead of erroring.</t>
  </si>
  <si>
    <t xml:space="preserve">ledger_edges rows (600-row bounded window)</t>
  </si>
  <si>
    <t xml:space="preserve">rendered dial cards, mean imbalance drift</t>
  </si>
  <si>
    <t xml:space="preserve">only sealed ledger rows feed the display; unscored (null imbalance) entries never contribute a number</t>
  </si>
  <si>
    <t xml:space="preserve">bounded window (WINDOW_ROWS=600, MAX_CARDS=12) keeps render cost flat as ledgers grow</t>
  </si>
  <si>
    <t xml:space="preserve">worker/src/dials.ts:L1-L12</t>
  </si>
  <si>
    <t xml:space="preserve">crab-traps-P20</t>
  </si>
  <si>
    <t xml:space="preserve">lure breeding cron (fitness-splice-retire)</t>
  </si>
  <si>
    <t xml:space="preserve">An hourly cron computes per-lure fitness, splices the top two templates into a child lure, retires stale ones; GET /genealogy shows the breeding tree — the lure population evolves on catch returns, not a copywriter.</t>
  </si>
  <si>
    <t xml:space="preserve">lure templates, catch/fitness stats</t>
  </si>
  <si>
    <t xml:space="preserve">child lure templates, retirements, genealogy rows</t>
  </si>
  <si>
    <t xml:space="preserve">fitness measured by catches rewards productive lures; adversarial lures that merely attract clicks starve</t>
  </si>
  <si>
    <t xml:space="preserve">README.md:L73-L76</t>
  </si>
  <si>
    <t xml:space="preserve">crab-traps-P21</t>
  </si>
  <si>
    <t xml:space="preserve">fnv witness contract (the corpus's fnv1a64 lives here)</t>
  </si>
  <si>
    <t xml:space="preserve">HONEST ATTRIBUTION: the fleet's fnv1a64 idiom appears in crab-traps as the ARENA's witness CONTRACT for competitors (solve({text}) -&gt; 16 lowercase hex chars = FNV-1a-64 of the text; witness-fnv.mjs) and as vectorize-lures' hashFeature ('must match the Worker's TypeScript hashFeature (FNV-like hash)') — the tamper-trap chains themselves are SHA-256 canonical-JSON, not fnv.</t>
  </si>
  <si>
    <t xml:space="preserve">text input</t>
  </si>
  <si>
    <t xml:space="preserve">16-char fnv1a64 hex (the contract competitors implement)</t>
  </si>
  <si>
    <t xml:space="preserve">output must equal the canonical FNV-1a-64 rendering — the arena's GAN lanes forge-and-verify against exactly this spec</t>
  </si>
  <si>
    <t xml:space="preserve">corpus.json's essence ('fnv1a64 chain-basis') overstates fnv's role in the chains: in-repo chain basis is sha256 (edge-ledger.ts:L82-L95) and stone-v1 law</t>
  </si>
  <si>
    <t xml:space="preserve">worker/scripts/45c-live-reasoner.mjs:L202; scripts/vectorize-lures.py:L51; worker/src/edge-ledger.ts:L82-L95</t>
  </si>
  <si>
    <t xml:space="preserve">crab-traps-P22</t>
  </si>
  <si>
    <t xml:space="preserve">the tarpit (worthless caves behind no-consent)</t>
  </si>
  <si>
    <t xml:space="preserve">GET /arena/tarpit?n=7 serves deterministic caves with zero content logging to any agent that skipped the plaque — the refusal path is itself deterministic, bounded, and keeps nothing; covert work prices to zero on our own ledger.</t>
  </si>
  <si>
    <t xml:space="preserve">n (cave depth parameter), absent/invalid ack</t>
  </si>
  <si>
    <t xml:space="preserve">deterministic worthless cave content, nothing persisted</t>
  </si>
  <si>
    <t xml:space="preserve">no acknowledgment -&gt; tarpit, never the arena; observation/artifacts/breeding all live behind the ack</t>
  </si>
  <si>
    <t xml:space="preserve">determinism makes the tarpit unprofitable to farm (same caves, nothing kept)</t>
  </si>
  <si>
    <t xml:space="preserve">worker/src/arena.ts:L14-L15; README.md ARENA section bullet 5</t>
  </si>
  <si>
    <t xml:space="preserve">quilt-organ-workers-P01</t>
  </si>
  <si>
    <t xml:space="preserve">canonical() fail-closed canonicalizer</t>
  </si>
  <si>
    <t xml:space="preserve">The registered law, identical to the toolkit's canonicalJson on every JSON-representable value (proven by the cross-canonicalizer battery); throws at the exact path for undefined, non-finite numbers, bigint, function, symbol.</t>
  </si>
  <si>
    <t xml:space="preserve">values with no stable JSON meaning throw (fail-closed) instead of coercing</t>
  </si>
  <si>
    <t xml:space="preserve">TypeError canonical: undefined/NaN/bigint/function/symbol at &lt;path&gt; (throws, not a named code)</t>
  </si>
  <si>
    <t xml:space="preserve">src/organ-boot-loader/worker.js:82-109; scripts/validate-dialect.mjs:17-21</t>
  </si>
  <si>
    <t xml:space="preserve">quilt-organ-workers-P02</t>
  </si>
  <si>
    <t xml:space="preserve">sha256hex over WebCrypto</t>
  </si>
  <si>
    <t xml:space="preserve">crypto.subtle.digest → lowercase hex; the single hashing primitive every commitment re-derivation uses.</t>
  </si>
  <si>
    <t xml:space="preserve">64-hex digest</t>
  </si>
  <si>
    <t xml:space="preserve">src/organ-boot-loader/worker.js:111-114</t>
  </si>
  <si>
    <t xml:space="preserve">quilt-organ-workers-P03</t>
  </si>
  <si>
    <t xml:space="preserve">shared KV namespace substrate</t>
  </si>
  <si>
    <t xml:space="preserve">One KV namespace 'quilt-organ-store' holds organ:{id} envelope bytes and meta:{id} rows for the loader, plus watch:{id} rows and watch:_lastRun for the watcher — two services, one substrate, writes partitioned by key prefix; the watcher never deletes anything.</t>
  </si>
  <si>
    <t xml:space="preserve">KV bindings (ORGANS)</t>
  </si>
  <si>
    <t xml:space="preserve">durable envelope/meta/watch records</t>
  </si>
  <si>
    <t xml:space="preserve">watcher writes only watch:* rows; loader writes only organ:/meta: rows</t>
  </si>
  <si>
    <t xml:space="preserve">src/organ-boot-loader/worker.js:13-15; src/organ-watcher/worker.js:33-37, 40-44; scripts/deploy.sh:25, 108-135</t>
  </si>
  <si>
    <t xml:space="preserve">quilt-organ-workers-P04</t>
  </si>
  <si>
    <t xml:space="preserve">canonical receipt chain check</t>
  </si>
  <si>
    <t xml:space="preserve">receipts[i] = {seq, op (object, non-empty type), prev, hash}, hash = sha256(canon({seq,op,prev})), GENESIS-anchored at receiptRange.start, full window (length == count) — every digest recomputed server-side, not just linkage.</t>
  </si>
  <si>
    <t xml:space="preserve">bundle.receipts, manifest</t>
  </si>
  <si>
    <t xml:space="preserve">null if sound | reason string</t>
  </si>
  <si>
    <t xml:space="preserve">full window present; every hash re-derives</t>
  </si>
  <si>
    <t xml:space="preserve">RECEIPT_INVALID (reasons: hash mismatch, prev does not link, seq discontinuity, op not an object)</t>
  </si>
  <si>
    <t xml:space="preserve">src/organ-boot-loader/worker.js:199-235, 380-387</t>
  </si>
  <si>
    <t xml:space="preserve">quilt-organ-workers-P05</t>
  </si>
  <si>
    <t xml:space="preserve">legacy receipt chain check</t>
  </si>
  <si>
    <t xml:space="preserve">The worker-original law kept unchanged for transition: receipts[i].digest = sha256(canon({seq,op,cell,prev,payload})), receipts[0].prev = 'genesis', count == receiptRange.length, each digest in manifest.receiptRange.</t>
  </si>
  <si>
    <t xml:space="preserve">legacy bundle.receipts, receiptRange</t>
  </si>
  <si>
    <t xml:space="preserve">every legacy digest re-derives and matches the range</t>
  </si>
  <si>
    <t xml:space="preserve">400 'receipt chain invalid: …' (reason strings, not codes)</t>
  </si>
  <si>
    <t xml:space="preserve">src/organ-boot-loader/worker.js:166-193, 505-509</t>
  </si>
  <si>
    <t xml:space="preserve">quilt-organ-workers-P06</t>
  </si>
  <si>
    <t xml:space="preserve">validateCanonicalBundle</t>
  </si>
  <si>
    <t xml:space="preserve">Full canonical-dialect validation — the toolkit's validateManifest + verifyChain + computeManifestHash law PLUS the registered whole-state commitment: manifestHash self-cover, stateHash over whole state, cellsSha256 over the cells map, per-cell stateHashes, receiptRange {start,end,count} consistency, genesis anchoring; returns {ok, errors:[{code, detail}]} — exported so the harness runs the EXACT production code.</t>
  </si>
  <si>
    <t xml:space="preserve">bundle</t>
  </si>
  <si>
    <t xml:space="preserve">{ok, errors[]}</t>
  </si>
  <si>
    <t xml:space="preserve">all three commitment levels (manifest, whole state, per-cell) must re-derive</t>
  </si>
  <si>
    <t xml:space="preserve">MANIFEST_INVALID | MANIFESTHASH_MISMATCH | STATEHASH_MISMATCH | STATE_INVALID | CELLSSHA256_MISMATCH | CELL_STATE_MISSING | CELL_STATEHASH_MISMATCH | RECEIPT_INVALID</t>
  </si>
  <si>
    <t xml:space="preserve">src/organ-boot-loader/worker.js:241-390</t>
  </si>
  <si>
    <t xml:space="preserve">quilt-organ-workers-P07</t>
  </si>
  <si>
    <t xml:space="preserve">idempotent envelope store</t>
  </si>
  <si>
    <t xml:space="preserve">Content-addressing makes identical re-upload idempotent, not a conflict: existing organ:{id} → refresh meta:{id} and return stored:false, alreadyExisted:true; new bundle → 201 with etag and verify path.</t>
  </si>
  <si>
    <t xml:space="preserve">validated bundle, server-derived id</t>
  </si>
  <si>
    <t xml:space="preserve">KV envelope + meta | idempotent ack</t>
  </si>
  <si>
    <t xml:space="preserve">same bytes → same id → no duplicate objects</t>
  </si>
  <si>
    <t xml:space="preserve">src/organ-boot-loader/worker.js:516-566</t>
  </si>
  <si>
    <t xml:space="preserve">quilt-organ-workers-P08</t>
  </si>
  <si>
    <t xml:space="preserve">server-side id derivation</t>
  </si>
  <si>
    <t xml:space="preserve">The organ id is re-derived from the manifest bytes at PUT time — a client cannot choose, claim, or squat an id; the store's address space is owned by the canonical form of the content.</t>
  </si>
  <si>
    <t xml:space="preserve">manifest</t>
  </si>
  <si>
    <t xml:space="preserve">id</t>
  </si>
  <si>
    <t xml:space="preserve">id is always sha256hex(canonical(manifest)) computed by the worker</t>
  </si>
  <si>
    <t xml:space="preserve">src/organ-boot-loader/worker.js:8-10, 517</t>
  </si>
  <si>
    <t xml:space="preserve">quilt-organ-workers-P09</t>
  </si>
  <si>
    <t xml:space="preserve">dialect admission + deprecation policy</t>
  </si>
  <si>
    <t xml:space="preserve">detectDialect routes canonical (bundle.schema) vs legacy (bundle.schemaVersion) vs refuse; legacy is accepted during transition but every legacy response carries x-quilt-schema-deprecated plus a deprecation note pointing at the registered schema doc; unsupported dialect → 400 naming both expected strings.</t>
  </si>
  <si>
    <t xml:space="preserve">parsed bundle</t>
  </si>
  <si>
    <t xml:space="preserve">dialect | refusal</t>
  </si>
  <si>
    <t xml:space="preserve">only the two registered dialect strings pass; legacy is loudly deprecated, never silent</t>
  </si>
  <si>
    <t xml:space="preserve">400 'unsupported schema dialect: expected "quilt.organ.manifest/v1" … got neither'</t>
  </si>
  <si>
    <t xml:space="preserve">src/organ-boot-loader/worker.js:54-62, 134-139, 473-482</t>
  </si>
  <si>
    <t xml:space="preserve">quilt-organ-workers-P10</t>
  </si>
  <si>
    <t xml:space="preserve">token auth by digest compare</t>
  </si>
  <si>
    <t xml:space="preserve">Authorization: Bearer or x-quilt-token against WORKER_UPLOAD_TOKEN, compared as sha256 digests (length-independent), never logged or reflected; shared fleet single-token discipline across loader, watcher, and judge relay.</t>
  </si>
  <si>
    <t xml:space="preserve">request headers, env.WORKER_UPLOAD_TOKEN</t>
  </si>
  <si>
    <t xml:space="preserve">pass | 401</t>
  </si>
  <si>
    <t xml:space="preserve">no token, or missing binding → refuse</t>
  </si>
  <si>
    <t xml:space="preserve">401 'unauthorized — present WORKER_UPLOAD_TOKEN via …'</t>
  </si>
  <si>
    <t xml:space="preserve">src/organ-boot-loader/worker.js:116-128; src/judge-relay/worker.js:69-77</t>
  </si>
  <si>
    <t xml:space="preserve">quilt-organ-workers-P11</t>
  </si>
  <si>
    <t xml:space="preserve">body budget guard</t>
  </si>
  <si>
    <t xml:space="preserve">8 MiB guard on declared content-length and actual text length (KV value limit is 25 MiB; boots stay lean) — checked before parse and before validation.</t>
  </si>
  <si>
    <t xml:space="preserve">request body</t>
  </si>
  <si>
    <t xml:space="preserve">bytes to validate | 413</t>
  </si>
  <si>
    <t xml:space="preserve">declared and actual size both ≤ MAX_BODY_BYTES</t>
  </si>
  <si>
    <t xml:space="preserve">413 'body too large (N bytes; limit 8388608)'</t>
  </si>
  <si>
    <t xml:space="preserve">src/organ-boot-loader/worker.js:58, 454-465</t>
  </si>
  <si>
    <t xml:space="preserve">quilt-organ-workers-P12</t>
  </si>
  <si>
    <t xml:space="preserve">watcher drift tri-state policy</t>
  </si>
  <si>
    <t xml:space="preserve">driftDetected is strictly three-valued: true (re-derivation failed — a FINDING, receipted, never deleted), false (every commitment re-derives), null (indeterminate: dialect unknown, or re-derivation threw, or meta row exists without organ bytes — which is itself counted as drift); MAX_ORGANS 512 hard stop for free-tier discipline.</t>
  </si>
  <si>
    <t xml:space="preserve">stored envelopes</t>
  </si>
  <si>
    <t xml:space="preserve">watch:{id} records + watch:_lastRun summary</t>
  </si>
  <si>
    <t xml:space="preserve">a stored organ that fails re-derivation is never silently dropped nor auto-deleted</t>
  </si>
  <si>
    <t xml:space="preserve">'stored envelope missing or unreadable (meta row without organ bytes)' → driftDetected:true</t>
  </si>
  <si>
    <t xml:space="preserve">src/organ-watcher/worker.js:27-31, 196-248</t>
  </si>
  <si>
    <t xml:space="preserve">quilt-organ-workers-P13</t>
  </si>
  <si>
    <t xml:space="preserve">loader HTTP routes</t>
  </si>
  <si>
    <t xml:space="preserve">GET / (service index with dialect + endpoint map), GET /organs (list with schemaVersion + cell/receipt counts), GET /organ/{sha256} (ETag + immutable cache + dialect headers), GET /organ/{sha256}/verify, PUT /organ (auth + validate + store); HEAD allowed on organ reads; OPTIONS preflight.</t>
  </si>
  <si>
    <t xml:space="preserve">HTTP requests</t>
  </si>
  <si>
    <t xml:space="preserve">JSON responses</t>
  </si>
  <si>
    <t xml:space="preserve">route table matches the advertised index exactly</t>
  </si>
  <si>
    <t xml:space="preserve">404 'no organ with id …' | 400 validation refusals</t>
  </si>
  <si>
    <t xml:space="preserve">src/organ-boot-loader/worker.js:396-447, 450-566, 569-600+</t>
  </si>
  <si>
    <t xml:space="preserve">quilt-organ-workers-P14</t>
  </si>
  <si>
    <t xml:space="preserve">watcher check cycle + status dashboard</t>
  </si>
  <si>
    <t xml:space="preserve">runCycle lists every meta:* id (paged, capped), re-derives each organ, writes watch rows + _lastRun {ranAt, trigger, durationMs, organsTracked, bootable, drifted, indeterminate}; GET /status serves every last check plus a fleetHealth summary; POST /check forces a cycle under auth; cron 0 * * * *.</t>
  </si>
  <si>
    <t xml:space="preserve">KV meta rows, cron trigger | POST /check</t>
  </si>
  <si>
    <t xml:space="preserve">watch rows + /status payload</t>
  </si>
  <si>
    <t xml:space="preserve">one record per organ per cycle; summary counts must add up</t>
  </si>
  <si>
    <t xml:space="preserve">re-derivation throw → bootable:null + reason (indeterminate, receipted)</t>
  </si>
  <si>
    <t xml:space="preserve">src/organ-watcher/worker.js:196-248, 250-341; scripts/deploy.sh:139-142</t>
  </si>
  <si>
    <t xml:space="preserve">quilt-organ-workers-P15</t>
  </si>
  <si>
    <t xml:space="preserve">judge relay fan-out</t>
  </si>
  <si>
    <t xml:space="preserve">POST /judge validates candidate/rubric/judges (≤8, candidate ≤256 KiB), fans out concurrently with per-judge timeout (60s), model alias resolution, Qwen-family thinking disabled by default, per-judge verdicts {ok, score, content, reasoning_head, usage, latency_ms, error?} plus aggregate {mean, min, max, spread, n, n_total}.</t>
  </si>
  <si>
    <t xml:space="preserve">{candidate, rubric, judges[], temperature?}</t>
  </si>
  <si>
    <t xml:space="preserve">{ok, aggregate, judges[]}</t>
  </si>
  <si>
    <t xml:space="preserve">judges ≤ 8; candidate ≤ 256 KiB; unsupported provider refuses per-judge without failing the batch</t>
  </si>
  <si>
    <t xml:space="preserve">400 shape refusals | per-judge 'unsupported provider' / 'deepinfra &lt;status&gt;' / 'fetch failed'</t>
  </si>
  <si>
    <t xml:space="preserve">src/judge-relay/worker.js:186-227, 36-46, 97-160</t>
  </si>
  <si>
    <t xml:space="preserve">quilt-organ-workers-P16</t>
  </si>
  <si>
    <t xml:space="preserve">score-first parsing contract</t>
  </si>
  <si>
    <t xml:space="preserve">The fixed SCORING_CONTRACT instruction forces 'SCORE: &lt;n&gt;/10' as the verdict's first line; parseScore tolerantly finds the line, clamps to [0,10], and reports hasContractLine separately — raw verdict text always rides beside the parsed score so a parse miss is visible, not lossy.</t>
  </si>
  <si>
    <t xml:space="preserve">judge content</t>
  </si>
  <si>
    <t xml:space="preserve">{score, hasContractLine}</t>
  </si>
  <si>
    <t xml:space="preserve">score must come from the contract line; clamp at [0,10]</t>
  </si>
  <si>
    <t xml:space="preserve">score:null with hasContractLine:true (contract violated) — visible in the response, never fabricated</t>
  </si>
  <si>
    <t xml:space="preserve">src/judge-relay/worker.js:48-51, 79-89, 144-156</t>
  </si>
  <si>
    <t xml:space="preserve">quilt-organ-workers-P17</t>
  </si>
  <si>
    <t xml:space="preserve">/verify boot-readiness report</t>
  </si>
  <si>
    <t xml:space="preserve">GET /organ/{id}/verify recomputes everything server-side, trusting nothing on arrival: checks {manifestDigestMatchesId, stateHashMatchesState, receiptChain, manifestHashSelfCover, cellsSha256MatchesState, perCellStateHashes} → {bootable, reason, dialect} — the check-before-boot instrument any agent can call.</t>
  </si>
  <si>
    <t xml:space="preserve">stored envelope</t>
  </si>
  <si>
    <t xml:space="preserve">{bootable, reason, dialect, checks}</t>
  </si>
  <si>
    <t xml:space="preserve">bootable only if every commitment re-derives</t>
  </si>
  <si>
    <t xml:space="preserve">bootable:false with the failing check named in the map</t>
  </si>
  <si>
    <t xml:space="preserve">src/organ-boot-loader/worker.js:594-600+ (checks map), 420 (endpoint doc)</t>
  </si>
  <si>
    <t xml:space="preserve">quilt-organ-workers-P18</t>
  </si>
  <si>
    <t xml:space="preserve">watcher independence + platform-block receipt</t>
  </si>
  <si>
    <t xml:space="preserve">The monitor shares NO code path with the service it watches; the cheaper alternative (calling the loader's /verify over HTTP) was live-tested first and is platform-blocked (same-account worker→worker fetch on *.workers.dev → instant error-1042-class unparseable 404, ~2 ms), receipted in receipts/ORGAN-WATCHER.md — re-derivation is the sanctioned fallback and strictly stronger for drift monitoring.</t>
  </si>
  <si>
    <t xml:space="preserve">stored bytes</t>
  </si>
  <si>
    <t xml:space="preserve">independent verdicts</t>
  </si>
  <si>
    <t xml:space="preserve">zero shared validation code with the loader</t>
  </si>
  <si>
    <t xml:space="preserve">src/organ-watcher/worker.js:10-20, 68-69; receipts/ORGAN-WATCHER.md</t>
  </si>
  <si>
    <t xml:space="preserve">quilt-organ-workers-P19</t>
  </si>
  <si>
    <t xml:space="preserve">shared-fixture dual-implementation harness</t>
  </si>
  <si>
    <t xml:space="preserve">scripts/validate-dialect.mjs proves BOTH organ implementations validate the same canonical fixture and reject every negative control, including a cross-canonicalizer battery (byte-equality on JSON edge cases + deterministic pseudo-random corpus) and fail-closed parity (undefined/NaN/Infinity/bigint throw in BOTH); exit 0 iff every check holds; deterministic, no network.</t>
  </si>
  <si>
    <t xml:space="preserve">fixture/organ-manifest-v1.json, worker exports, toolkit manifest.mjs</t>
  </si>
  <si>
    <t xml:space="preserve">38 named check results + VERDICT</t>
  </si>
  <si>
    <t xml:space="preserve">exit 0 iff every check holds</t>
  </si>
  <si>
    <t xml:space="preserve">exit 1 fail-closed on any disagreement between implementations</t>
  </si>
  <si>
    <t xml:space="preserve">scripts/validate-dialect.mjs:1-60; run this lane: 38/38 PASS, fixture sha256 6abf4659…</t>
  </si>
  <si>
    <t xml:space="preserve">quilt-organ-workers-P20</t>
  </si>
  <si>
    <t xml:space="preserve">secret custody discipline</t>
  </si>
  <si>
    <t xml:space="preserve">All credentials come from a gitignored .env.keys; secrets attach as Worker secret_text bindings at upload; metadata JSON written to a chmod-600 temp file and removed after; the script contains none of them — the same discipline the fleet applies to push tokens.</t>
  </si>
  <si>
    <t xml:space="preserve">.env.keys (gitignored)</t>
  </si>
  <si>
    <t xml:space="preserve">worker secret bindings</t>
  </si>
  <si>
    <t xml:space="preserve">no credential ever enters the repo or the uploaded metadata file's leftovers</t>
  </si>
  <si>
    <t xml:space="preserve">scripts/deploy.sh:2-11, 75-85</t>
  </si>
  <si>
    <t xml:space="preserve">quilt-jev-toolkit-P01</t>
  </si>
  <si>
    <t xml:space="preserve">canonicalJson (fail-closed)</t>
  </si>
  <si>
    <t xml:space="preserve">Recursive key-sorted UTF-8 no-whitespace serialization that throws on values with no stable JSON meaning (undefined, functions, NaN) at the exact path — the form every hash is taken over.</t>
  </si>
  <si>
    <t xml:space="preserve">undefined / functions / NaN refuse to serialize (throw)</t>
  </si>
  <si>
    <t xml:space="preserve">STATE_UNSERIALIZABLE downstream when staged state has no canonical form</t>
  </si>
  <si>
    <t xml:space="preserve">src/organ/manifest.mjs:28-56; docs/REVERSE-ACTUALIZED-SPEC.md:101-103</t>
  </si>
  <si>
    <t xml:space="preserve">quilt-jev-toolkit-P02</t>
  </si>
  <si>
    <t xml:space="preserve">receipt hash formula</t>
  </si>
  <si>
    <t xml:space="preserve">receiptHash = sha256(canonical({seq, op, prev})) with op an OBJECT carrying all effect content; receipts carry no wall-clock time — seq is time.</t>
  </si>
  <si>
    <t xml:space="preserve">seq, op, prevHash</t>
  </si>
  <si>
    <t xml:space="preserve">receipt hash</t>
  </si>
  <si>
    <t xml:space="preserve">recomputed hash must equal carried hash</t>
  </si>
  <si>
    <t xml:space="preserve">RECEIPT_HASH_MISMATCH</t>
  </si>
  <si>
    <t xml:space="preserve">src/organ/manifest.mjs:73-87,109; spec:63</t>
  </si>
  <si>
    <t xml:space="preserve">quilt-jev-toolkit-P03</t>
  </si>
  <si>
    <t xml:space="preserve">per-cell + cells-map state hashes</t>
  </si>
  <si>
    <t xml:space="preserve">cellStateHash = sha256Json({kind, value}); cellsStateHash = sha256 over canonical cells map — the manifest carries both, so state tampering is loud at cell granularity and whole-state granularity.</t>
  </si>
  <si>
    <t xml:space="preserve">cells</t>
  </si>
  <si>
    <t xml:space="preserve">stateHashes</t>
  </si>
  <si>
    <t xml:space="preserve">recomputed hashes must equal manifest claims</t>
  </si>
  <si>
    <t xml:space="preserve">STATE_HASH_MISMATCH</t>
  </si>
  <si>
    <t xml:space="preserve">src/organ/snapshot.mjs:22-30; src/organ/boot.mjs:139-157</t>
  </si>
  <si>
    <t xml:space="preserve">quilt-jev-toolkit-P04</t>
  </si>
  <si>
    <t xml:space="preserve">manifestHash self-cover</t>
  </si>
  <si>
    <t xml:space="preserve">manifestHash = sha256(canonical(manifest minus manifestHash)); organId = name@16-hex minted once and carried forward; supersedes pins the prior manifest for re-snapshots.</t>
  </si>
  <si>
    <t xml:space="preserve">manifestHash</t>
  </si>
  <si>
    <t xml:space="preserve">recomputed self-cover must equal carried manifestHash</t>
  </si>
  <si>
    <t xml:space="preserve">MANIFEST_INVALID (self-hash mismatch)</t>
  </si>
  <si>
    <t xml:space="preserve">src/organ/manifest.mjs:121-124,132; spec:83-99</t>
  </si>
  <si>
    <t xml:space="preserve">quilt-jev-toolkit-P05</t>
  </si>
  <si>
    <t xml:space="preserve">deterministic op evaluator (toyQuilt)</t>
  </si>
  <si>
    <t xml:space="preserve">applyOp cells→cells for the op set; deterministic, no clock, no randomness — the engine that makes replay == carried state a meaningful assertion at all.</t>
  </si>
  <si>
    <t xml:space="preserve">cells, op</t>
  </si>
  <si>
    <t xml:space="preserve">post-op cells</t>
  </si>
  <si>
    <t xml:space="preserve">an op must be determinable and reference known cells</t>
  </si>
  <si>
    <t xml:space="preserve">REPLAY_INVALID_OP</t>
  </si>
  <si>
    <t xml:space="preserve">src/organ/toyQuilt.mjs:34-66; spec:120</t>
  </si>
  <si>
    <t xml:space="preserve">quilt-jev-toolkit-P06</t>
  </si>
  <si>
    <t xml:space="preserve">verifyChain (contiguity + linkage)</t>
  </si>
  <si>
    <t xml:space="preserve">Walks the carried receipts: seq continuity from expectedStart, prev == previous hash, recomputed hash == carried hash, count == receiptRange; a gap is a missing page of custody.</t>
  </si>
  <si>
    <t xml:space="preserve">receipts, expectedStart, expectedPrev</t>
  </si>
  <si>
    <t xml:space="preserve">{ok, tipHash} | {ok:false, code, detail}</t>
  </si>
  <si>
    <t xml:space="preserve">chain is contiguous and parent-bound across the full window</t>
  </si>
  <si>
    <t xml:space="preserve">CHAIN_GAP | RECEIPT_HASH_MISMATCH</t>
  </si>
  <si>
    <t xml:space="preserve">src/organ/manifest.mjs:89-118</t>
  </si>
  <si>
    <t xml:space="preserve">quilt-jev-toolkit-P07</t>
  </si>
  <si>
    <t xml:space="preserve">snapshot() freezing</t>
  </si>
  <si>
    <t xml:space="preserve">Freezes {manifest, state, receipts} into the portable bundle — content-addressed, supersedes-linked, count-consistent; snapshotOrgan re-snapshots a booted organ carrying its ledger.</t>
  </si>
  <si>
    <t xml:space="preserve">cells, ledger, opts</t>
  </si>
  <si>
    <t xml:space="preserve">frozen bundle must pass its own validation</t>
  </si>
  <si>
    <t xml:space="preserve">MANIFEST_INVALID</t>
  </si>
  <si>
    <t xml:space="preserve">src/organ/snapshot.mjs:54-140</t>
  </si>
  <si>
    <t xml:space="preserve">quilt-jev-toolkit-P08</t>
  </si>
  <si>
    <t xml:space="preserve">pre-verb courtroom</t>
  </si>
  <si>
    <t xml:space="preserve">Every rewind-family verb (stateAt/rewind/transact) re-runs the full courtroom on the subject BEFORE acting: chain verify + replay == carried state, bundle or booted organ alike — a rewind cannot become a forgery laundromat for the tail it ignores.</t>
  </si>
  <si>
    <t xml:space="preserve">subject (bundle | organ)</t>
  </si>
  <si>
    <t xml:space="preserve">court verdict</t>
  </si>
  <si>
    <t xml:space="preserve">no verb acts on an unproven subject</t>
  </si>
  <si>
    <t xml:space="preserve">REPLAY_DIVERGENCE (self-consistent forged chain) | CHAIN_GAP | REPLAY_INVALID_OP</t>
  </si>
  <si>
    <t xml:space="preserve">src/organ/rewind.mjs:106-149; spec:161-165</t>
  </si>
  <si>
    <t xml:space="preserve">quilt-jev-toolkit-P09</t>
  </si>
  <si>
    <t xml:space="preserve">replay == carried assertion</t>
  </si>
  <si>
    <t xml:space="preserve">The courtroom's final invariant: replaying the receipt range over the replay base (empty cells, or the anchored seed) must hash-equal manifest.state.cellsSha256 — replay divergence is a hard stop, not a warning.</t>
  </si>
  <si>
    <t xml:space="preserve">receipts, replay base, carried stateHash</t>
  </si>
  <si>
    <t xml:space="preserve">boot-provable state</t>
  </si>
  <si>
    <t xml:space="preserve">replayed state hash == carried state hash</t>
  </si>
  <si>
    <t xml:space="preserve">REPLAY_DIVERGENCE</t>
  </si>
  <si>
    <t xml:space="preserve">src/organ/boot.mjs:285-302</t>
  </si>
  <si>
    <t xml:space="preserve">quilt-jev-toolkit-P10</t>
  </si>
  <si>
    <t xml:space="preserve">manifest schema law</t>
  </si>
  <si>
    <t xml:space="preserve">validateManifest refuses unknown schema/schemaVersion (never best-effort parse), malformed fields, bad hex, edges to unknown cells — future formats extend via schemaVersion with fail-closed drift.</t>
  </si>
  <si>
    <t xml:space="preserve">schema + schemaVersion are exactly the implemented ones</t>
  </si>
  <si>
    <t xml:space="preserve">SCHEMA_DRIFT | MANIFEST_INVALID</t>
  </si>
  <si>
    <t xml:space="preserve">src/organ/manifest.mjs:132-212; spec:112-113</t>
  </si>
  <si>
    <t xml:space="preserve">quilt-jev-toolkit-P11</t>
  </si>
  <si>
    <t xml:space="preserve">custody anchor policy</t>
  </si>
  <si>
    <t xml:space="preserve">v0 trusts exactly two anchors: GENESIS and an explicit checkpoint {seq,hash}; an unanchored prefix (range starts at seq&gt;0, no checkpoint) is unowned history; v2 narrows this: a seed-bearing gap is legal only under a verified signature — contradictory custody claims (seed + genesis.seq 0) refuse.</t>
  </si>
  <si>
    <t xml:space="preserve">manifest.genesis, bundle.seed?, checkpoint?, key?</t>
  </si>
  <si>
    <t xml:space="preserve">replay base | refusal</t>
  </si>
  <si>
    <t xml:space="preserve">every carried range must be anchored; every gap must be signature-covered</t>
  </si>
  <si>
    <t xml:space="preserve">CUSTODY_GAP | MANIFEST_INVALID (contradictory custody claim) | CHECKPOINT_SIGNATURE_REQUIRED</t>
  </si>
  <si>
    <t xml:space="preserve">src/organ/boot.mjs:184-276; spec:115-118, 354-356</t>
  </si>
  <si>
    <t xml:space="preserve">quilt-jev-toolkit-P12</t>
  </si>
  <si>
    <t xml:space="preserve">rewind bounds policy</t>
  </si>
  <si>
    <t xml:space="preserve">toSeq must be an integer within [carried range start, tip]: below the carried start is unowned history (naming the checkpoint boundary under partial custody), beyond the tip is not a rewind — advance by boot+append instead.</t>
  </si>
  <si>
    <t xml:space="preserve">court, toSeq</t>
  </si>
  <si>
    <t xml:space="preserve">resolved target | refusal</t>
  </si>
  <si>
    <t xml:space="preserve">toSeq within the subject's carried custody</t>
  </si>
  <si>
    <t xml:space="preserve">REWIND_TARGET_INVALID | REWIND_PAST_CUSTODY</t>
  </si>
  <si>
    <t xml:space="preserve">src/organ/rewind.mjs:151-166</t>
  </si>
  <si>
    <t xml:space="preserve">quilt-jev-toolkit-P13</t>
  </si>
  <si>
    <t xml:space="preserve">transact atomicity</t>
  </si>
  <si>
    <t xml:space="preserve">PREPARE stages every op on detached copies, each validated against the post-op state of the ops before it; first failure returns {ok:false, phase:prepare, failedOp, code} with the input byte-untouched; COMMIT materializes the successor exactly once via snapshot() and self-verifies it through verifyBundle — no partially-extended bundle ever exists.</t>
  </si>
  <si>
    <t xml:space="preserve">bundle, ops[]</t>
  </si>
  <si>
    <t xml:space="preserve">successor bundle | {ok:false,...}</t>
  </si>
  <si>
    <t xml:space="preserve">all ops or nothing; successor passes its own boot courtroom</t>
  </si>
  <si>
    <t xml:space="preserve">TRANSACTION_INVALID | OP_MALFORMED | OP_APPLY_FAILED | STATE_UNSERIALIZABLE | REPLAY_DIVERGENCE (self-check)</t>
  </si>
  <si>
    <t xml:space="preserve">src/organ/rewind.mjs:303-400; spec:179-188</t>
  </si>
  <si>
    <t xml:space="preserve">quilt-jev-toolkit-P14</t>
  </si>
  <si>
    <t xml:space="preserve">double-entry balance law</t>
  </si>
  <si>
    <t xml:space="preserve">Every LIVE host credit must resolve to a debit the organ's carried ledger holds (same seq, same debitHash) and every carried post-nest debit must be covered by a live credit; verify-only, never auto-repair; returns creditsChecked/creditsRevoked/rewinds.</t>
  </si>
  <si>
    <t xml:space="preserve">host ledger, organ ledger</t>
  </si>
  <si>
    <t xml:space="preserve">{ok, errors, creditsChecked, creditsRevoked, rewinds}</t>
  </si>
  <si>
    <t xml:space="preserve">debits and credits net to zero across the nest boundary</t>
  </si>
  <si>
    <t xml:space="preserve">DOUBLE_ENTRY_UNBALANCED | DOUBLE_ENTRY_HASH_MISMATCH | DOUBLE_ENTRY_STATE_MISMATCH</t>
  </si>
  <si>
    <t xml:space="preserve">src/organ/nest.mjs:97-224; spec:139-141, 202-224</t>
  </si>
  <si>
    <t xml:space="preserve">quilt-jev-toolkit-P15</t>
  </si>
  <si>
    <t xml:space="preserve">compensating rewind receipt (revocation law)</t>
  </si>
  <si>
    <t xml:space="preserve">Rewinding past a nest boundary appends ONE host receipt organ.rewind carrying rewound[] evidence; append-only evidence-based revocation (nothing erased), self-audit (every entry must match a real credit), temporal form (listed creditSeq must precede the rewind receipt's own seq — making self-consistent padding structurally impossible since the evidence hash depends on the receipt hash that depends on the evidence).</t>
  </si>
  <si>
    <t xml:space="preserve">host ledger, organ.rewind receipt</t>
  </si>
  <si>
    <t xml:space="preserve">revoked credits (still stored, marked dead)</t>
  </si>
  <si>
    <t xml:space="preserve">evidence must be real, unique, and temporally precede the receipt</t>
  </si>
  <si>
    <t xml:space="preserve">DOUBLE_ENTRY_REWIND_INVALID | DOUBLE_ENTRY_HASH_MISMATCH (padded/dangling/doubly-listed evidence)</t>
  </si>
  <si>
    <t xml:space="preserve">src/organ/nest.mjs:145-178; spec:190-224</t>
  </si>
  <si>
    <t xml:space="preserve">quilt-jev-toolkit-P16</t>
  </si>
  <si>
    <t xml:space="preserve">checkpoint signature policy</t>
  </si>
  <si>
    <t xml:space="preserve">verifySignedCheckpoint checks structure (schema/version/alg/seq/hash/manifestHash/sig), refuses unknown algorithms (Ed25519 is v3, not a fallback), and HMACs canonical({hash, manifestHash, seq}) under the verifier's key — the only trust input is the key.</t>
  </si>
  <si>
    <t xml:space="preserve">checkpoint doc, key</t>
  </si>
  <si>
    <t xml:space="preserve">{ok} | {ok:false, code, detail}</t>
  </si>
  <si>
    <t xml:space="preserve">unknown alg refuses; HMAC must verify under the provided key</t>
  </si>
  <si>
    <t xml:space="preserve">CHECKPOINT_MALFORMED | CHECKPOINT_SIGNATURE_INVALID | CHECKPOINT_SIGNATURE_REQUIRED</t>
  </si>
  <si>
    <t xml:space="preserve">src/organ/boot.mjs:79-110; spec:291-309, 345-347</t>
  </si>
  <si>
    <t xml:space="preserve">quilt-jev-toolkit-P17</t>
  </si>
  <si>
    <t xml:space="preserve">carve policy</t>
  </si>
  <si>
    <t xml:space="preserve">carvePartialCustody is keyless and mechanical: it re-derives the prefix manifest from the verified full bundle, refuses a checkpoint that does not describe this bundle's prefix exactly, refuses carving at the tip (no tail would remain), and emits the partial bundle [seq+1..tip] + seed + signed checkpoint.</t>
  </si>
  <si>
    <t xml:space="preserve">full bundle, signed checkpoint</t>
  </si>
  <si>
    <t xml:space="preserve">partial-custody bundle</t>
  </si>
  <si>
    <t xml:space="preserve">checkpoint prefix must re-hash to the signed manifestHash; boundary must leave a tail</t>
  </si>
  <si>
    <t xml:space="preserve">CHECKPOINT_ANCHOR_MISMATCH | CHECKPOINT_SEQ_OUT_OF_RANGE | CHECKPOINT_MINT_INVALID</t>
  </si>
  <si>
    <t xml:space="preserve">src/organ/checkpoint.mjs:131-164</t>
  </si>
  <si>
    <t xml:space="preserve">quilt-jev-toolkit-P18</t>
  </si>
  <si>
    <t xml:space="preserve">signCheckpoint mint</t>
  </si>
  <si>
    <t xml:space="preserve">Minting verifies the bundle through the full boot courtroom first (never sign an unproven snapshot), replays the prefix ONCE, snapshots it, and signs the triple — refusing partial-custody sources and out-of-range boundaries.</t>
  </si>
  <si>
    <t xml:space="preserve">full bundle, seq, key</t>
  </si>
  <si>
    <t xml:space="preserve">signed checkpoint {schema, alg, seq, hash, manifestHash, sig, manifest}</t>
  </si>
  <si>
    <t xml:space="preserve">never sign an unproven snapshot; boundary within carried range; full custody source</t>
  </si>
  <si>
    <t xml:space="preserve">CHECKPOINT_MINT_INVALID | CHECKPOINT_SEQ_OUT_OF_RANGE | any boot-courtroom code</t>
  </si>
  <si>
    <t xml:space="preserve">src/organ/checkpoint.mjs:87-129</t>
  </si>
  <si>
    <t xml:space="preserve">quilt-jev-toolkit-P19</t>
  </si>
  <si>
    <t xml:space="preserve">seed-aware replay base</t>
  </si>
  <si>
    <t xml:space="preserve">stateAt/rewind/transact and verifyDoubleEntry all accept the partial-custody seed as the replay floor: prefix queries answer hash-equal to the full bundle's answers above the floor; the seed is re-verified against the boot-time custody hash on every use.</t>
  </si>
  <si>
    <t xml:space="preserve">subject, seed {seq, cells}</t>
  </si>
  <si>
    <t xml:space="preserve">replay base</t>
  </si>
  <si>
    <t xml:space="preserve">seed hash must equal the boot-verified custody seed hash</t>
  </si>
  <si>
    <t xml:space="preserve">REPLAY_DIVERGENCE (custody seed missing/untamperable)</t>
  </si>
  <si>
    <t xml:space="preserve">src/organ/rewind.mjs:83-99; spec:333-339</t>
  </si>
  <si>
    <t xml:space="preserve">quilt-jev-toolkit-P20</t>
  </si>
  <si>
    <t xml:space="preserve">boot()</t>
  </si>
  <si>
    <t xml:space="preserve">The courtroom's only constructive exit: after every check passes, the organ wakes with state, organId, ledger append rights, and custody provenance — boot never partially succeeds.</t>
  </si>
  <si>
    <t xml:space="preserve">verified bundle, opts (checkpointKey)</t>
  </si>
  <si>
    <t xml:space="preserve">booted organ</t>
  </si>
  <si>
    <t xml:space="preserve">constructed only after every check passes</t>
  </si>
  <si>
    <t xml:space="preserve">OrganBootError with the first failing code</t>
  </si>
  <si>
    <t xml:space="preserve">src/organ/boot.mjs:318-362; spec:124-125</t>
  </si>
  <si>
    <t xml:space="preserve">quilt-jev-toolkit-P21</t>
  </si>
  <si>
    <t xml:space="preserve">stateAt / rewind verbs</t>
  </si>
  <si>
    <t xml:space="preserve">stateAt = pure time-travel query with provenance {start, end, count, tipHash}, never mutates, works on bundles and organs; rewind = pure view on bundles, destructive truncate+pure-replay-rebuild on organs, then continuation appends from the rewound tip on the SAME hash chain (custody unbroken).</t>
  </si>
  <si>
    <t xml:space="preserve">subject, seq</t>
  </si>
  <si>
    <t xml:space="preserve">historical state + provenance | rewound organ</t>
  </si>
  <si>
    <t xml:space="preserve">same-chain continuation after organ rewind; purity on bundle subjects</t>
  </si>
  <si>
    <t xml:space="preserve">src/organ/rewind.mjs:195-301; spec:169-178</t>
  </si>
  <si>
    <t xml:space="preserve">quilt-jev-toolkit-P22</t>
  </si>
  <si>
    <t xml:space="preserve">nestInto + credit append</t>
  </si>
  <si>
    <t xml:space="preserve">nestInto boots the organ into the host: organ keeps its own chain, host receives organ.nest custody marker + organ.credit pointer receipts {organId, organSeq, debitHash, stateHashAfter} that add no organ state to the host; same manifestHash cannot nest twice.</t>
  </si>
  <si>
    <t xml:space="preserve">host, bundle, organ</t>
  </si>
  <si>
    <t xml:space="preserve">nested organ + host credit receipts</t>
  </si>
  <si>
    <t xml:space="preserve">host chain stays contiguous; one nest receipt per manifestHash</t>
  </si>
  <si>
    <t xml:space="preserve">DUPLICATE_NEST</t>
  </si>
  <si>
    <t xml:space="preserve">src/organ/nest.mjs:33-95; spec:129-143</t>
  </si>
  <si>
    <t xml:space="preserve">quilt-jev-toolkit-P23</t>
  </si>
  <si>
    <t xml:space="preserve">custody provenance on the booted organ</t>
  </si>
  <si>
    <t xml:space="preserve">A partial-custody organ wakes carrying organ.custody {kind: signed-checkpoint, signedAt {seq,hash,manifestHash,alg}, verifiedRange, seed {seq,cells,stateHash}} — what was signature-anchored and what replay actually verified travels with the organ.</t>
  </si>
  <si>
    <t xml:space="preserve">verified partial bundle</t>
  </si>
  <si>
    <t xml:space="preserve">organ.custody record</t>
  </si>
  <si>
    <t xml:space="preserve">provenance names the anchor the custody rests on</t>
  </si>
  <si>
    <t xml:space="preserve">src/organ/boot.mjs:255-266, 343-346; spec:322-331</t>
  </si>
  <si>
    <t xml:space="preserve">quilt-jev-toolkit-P24</t>
  </si>
  <si>
    <t xml:space="preserve">fail-closed error table as law</t>
  </si>
  <si>
    <t xml:space="preserve">§4 (v0, 11 rows) + §7.3 (v1, 7 rows) + §8.3 (v2, 8 rows) name every refusal; codes are stable and grep-able; the test suite proves each code fires (tamper trio, chain gap, replay divergence, rewind past custody, checkpoint forgery quartet).</t>
  </si>
  <si>
    <t xml:space="preserve">any refusal</t>
  </si>
  <si>
    <t xml:space="preserve">{code, detail}</t>
  </si>
  <si>
    <t xml:space="preserve">every named code has a test or a refusal behind it</t>
  </si>
  <si>
    <t xml:space="preserve">SCHEMA_DRIFT | MANIFEST_INVALID | STATE_HASH_MISMATCH | RECEIPT_HASH_MISMATCH | CHAIN_GAP | CUSTODY_GAP | CUSTODY_CHECKPOINT_MISMATCH | REPLAY_DIVERGENCE | REPLAY_INVALID_OP | DUPLICATE_NEST | DOUBLE_ENTRY_* | REWIND_TARGET_INVALID | REWIND_PAST_CUSTODY | TRANSACTION_INVALID | OP_MALFORMED | OP_APPLY_FAILED | STATE_UNSERIALIZABLE | CHECKPOINT_* (26 distinct codes observed in src)</t>
  </si>
  <si>
    <t xml:space="preserve">docs/REVERSE-ACTUALIZED-SPEC.md:110-122, 228-236, 343-356</t>
  </si>
  <si>
    <t xml:space="preserve">quilt-jev-toolkit-P25</t>
  </si>
  <si>
    <t xml:space="preserve">demo receipts as sealed evidence</t>
  </si>
  <si>
    <t xml:space="preserve">Both demos write receipt JSON files (boot-demo-receipt.json, rewind-v1-demo-receipt.json, rewind-v1-upload-receipt.json) so a run's claims are sealed artifacts, not console folklore — the L16 receipt-of-record discipline at example scale.</t>
  </si>
  <si>
    <t xml:space="preserve">demo run</t>
  </si>
  <si>
    <t xml:space="preserve">receipt JSON on disk</t>
  </si>
  <si>
    <t xml:space="preserve">receipts are regenerated truthfully by the runs themselves</t>
  </si>
  <si>
    <t xml:space="preserve">examples/receipts/ (3 files); examples/rewind-demo.mjs; README.md ORGAN BOOT sections</t>
  </si>
  <si>
    <t xml:space="preserve">quilt-mcp-receipts-P01</t>
  </si>
  <si>
    <t xml:space="preserve">canonicalJSON</t>
  </si>
  <si>
    <t xml:space="preserve">Recursive key-sorted, no-whitespace serialization; arrays keep order, object keys sorted lexicographically at every depth — the binding form for everything hash-relevant.</t>
  </si>
  <si>
    <t xml:space="preserve">keys sorted at every depth; arrays keep order; output is deterministic across processes</t>
  </si>
  <si>
    <t xml:space="preserve">server.mjs:37-42</t>
  </si>
  <si>
    <t xml:space="preserve">quilt-mcp-receipts-P02</t>
  </si>
  <si>
    <t xml:space="preserve">receipt id formula (chain link)</t>
  </si>
  <si>
    <t xml:space="preserve">id = SHA-256("qmr1:" + seq + ":" + prev + ":" + canonicalJSON(body)) — the body, sequence and parent are all inside one hash.</t>
  </si>
  <si>
    <t xml:space="preserve">seq, prev, body</t>
  </si>
  <si>
    <t xml:space="preserve">64-hex id</t>
  </si>
  <si>
    <t xml:space="preserve">recomputed id must equal stored id</t>
  </si>
  <si>
    <t xml:space="preserve">E_HASH_MISMATCH (body/seq/prev altered after sealing)</t>
  </si>
  <si>
    <t xml:space="preserve">server.mjs:44-46; DESIGN.md:56</t>
  </si>
  <si>
    <t xml:space="preserve">quilt-mcp-receipts-P03</t>
  </si>
  <si>
    <t xml:space="preserve">receipt signature formula</t>
  </si>
  <si>
    <t xml:space="preserve">sig = HMAC-SHA256(secret, "qmr1:sig:" + id) — symmetric spike scheme; attribution is fleet-trust, stated honestly, Ed25519 per-agent keypairs are the additive qmr2 path (DESIGN.md §4).</t>
  </si>
  <si>
    <t xml:space="preserve">secret (env MCP_RECEIPT_SECRET), id</t>
  </si>
  <si>
    <t xml:space="preserve">64-hex sig</t>
  </si>
  <si>
    <t xml:space="preserve">recomputed HMAC must equal stored sig</t>
  </si>
  <si>
    <t xml:space="preserve">E_BAD_SIGNATURE (altered id or wrong secret)</t>
  </si>
  <si>
    <t xml:space="preserve">server.mjs:48-50; DESIGN.md:58-59</t>
  </si>
  <si>
    <t xml:space="preserve">quilt-mcp-receipts-P04</t>
  </si>
  <si>
    <t xml:space="preserve">genesis rule</t>
  </si>
  <si>
    <t xml:space="preserve">GENESIS_PREV = '0'×64; the first receipt has seq 1 and prev = GENESIS_PREV — the chain has exactly one root and every store answers to it.</t>
  </si>
  <si>
    <t xml:space="preserve">expected prev of row 1</t>
  </si>
  <si>
    <t xml:space="preserve">row 1 prev must equal GENESIS_PREV (enforced via the same prev-linkage check)</t>
  </si>
  <si>
    <t xml:space="preserve">E_PREV_MISMATCH</t>
  </si>
  <si>
    <t xml:space="preserve">server.mjs:13, 93, 129; DESIGN.md:52</t>
  </si>
  <si>
    <t xml:space="preserve">quilt-mcp-receipts-P05</t>
  </si>
  <si>
    <t xml:space="preserve">disk re-parse (no-cache honesty)</t>
  </si>
  <si>
    <t xml:space="preserve">loadStore() re-reads and re-parses store.jsonl on every call — every answer describes the file as it IS now, not as it was at boot; unparseable lines are collected, never silently skipped.</t>
  </si>
  <si>
    <t xml:space="preserve">store.jsonl bytes</t>
  </si>
  <si>
    <t xml:space="preserve">receipts[], corrupted_lines[]</t>
  </si>
  <si>
    <t xml:space="preserve">no answer is served from a cached view of the file</t>
  </si>
  <si>
    <t xml:space="preserve">E_STORE_CORRUPT (named line numbers of non-JSON lines)</t>
  </si>
  <si>
    <t xml:space="preserve">server.mjs:59-73; DESIGN.md:75-78</t>
  </si>
  <si>
    <t xml:space="preserve">quilt-mcp-receipts-P06</t>
  </si>
  <si>
    <t xml:space="preserve">verifyChain genesis re-derivation</t>
  </si>
  <si>
    <t xml:space="preserve">Row-by-row loop from genesis checking, in order: structure → seq → prev linkage → id recomputation → sig recomputation; fails closed on the FIRST broken row with at_seq and count_checked.</t>
  </si>
  <si>
    <t xml:space="preserve">loadStore() output</t>
  </si>
  <si>
    <t xml:space="preserve">{ok:true, count, tip, dialect} or {ok:false, error, at_seq, detail}</t>
  </si>
  <si>
    <t xml:space="preserve">every id and sig re-derives; first failure wins</t>
  </si>
  <si>
    <t xml:space="preserve">any of the eight named codes, localized at at_seq</t>
  </si>
  <si>
    <t xml:space="preserve">server.mjs:81-118</t>
  </si>
  <si>
    <t xml:space="preserve">quilt-mcp-receipts-P07</t>
  </si>
  <si>
    <t xml:space="preserve">five-field strictness</t>
  </si>
  <si>
    <t xml:space="preserve">Exactly {seq, prev, body, id, sig}: missing fields and unknown fields both refuse — no client can add semantics the verifier does not check.</t>
  </si>
  <si>
    <t xml:space="preserve">receipt object</t>
  </si>
  <si>
    <t xml:space="preserve">pass | refusal</t>
  </si>
  <si>
    <t xml:space="preserve">REQUIRED_FIELDS membership is exact in both directions</t>
  </si>
  <si>
    <t xml:space="preserve">E_MISSING_FIELD | E_UNKNOWN_FIELD</t>
  </si>
  <si>
    <t xml:space="preserve">server.mjs:16, 100-101; DESIGN.md:151-152</t>
  </si>
  <si>
    <t xml:space="preserve">quilt-mcp-receipts-P08</t>
  </si>
  <si>
    <t xml:space="preserve">seq/prev linkage checks</t>
  </si>
  <si>
    <t xml:space="preserve">seq must equal row index+1 (covers replay of an old receipt) and prev must equal the previous row's id (the broken-hash-link case).</t>
  </si>
  <si>
    <t xml:space="preserve">receipt, expected seq, expected prev</t>
  </si>
  <si>
    <t xml:space="preserve">total order is contiguous and parent-bound</t>
  </si>
  <si>
    <t xml:space="preserve">E_SEQ_MISMATCH (replay/gap) | E_PREV_MISMATCH (broken link)</t>
  </si>
  <si>
    <t xml:space="preserve">server.mjs:109-110; DESIGN.md:146-147</t>
  </si>
  <si>
    <t xml:space="preserve">quilt-mcp-receipts-P09</t>
  </si>
  <si>
    <t xml:space="preserve">validateAppend admission ladder</t>
  </si>
  <si>
    <t xml:space="preserve">The write-side order: structure → body shape (body.kind, body.ts non-empty strings) → seq = tip+1 → prev = tip id → id recompute → sig recompute; first failure wins and returns isError:true with the named code.</t>
  </si>
  <si>
    <t xml:space="preserve">submitted receipt, current store</t>
  </si>
  <si>
    <t xml:space="preserve">{ok:true, tip} | {error, detail}</t>
  </si>
  <si>
    <t xml:space="preserve">nothing invalid is ever appended to disk</t>
  </si>
  <si>
    <t xml:space="preserve">E_BODY_INVALID | E_MISSING_FIELD | E_UNKNOWN_FIELD | E_SEQ_MISMATCH | E_PREV_MISMATCH | E_HASH_MISMATCH | E_BAD_SIGNATURE</t>
  </si>
  <si>
    <t xml:space="preserve">server.mjs:122-152; DESIGN.md:100-106</t>
  </si>
  <si>
    <t xml:space="preserve">quilt-mcp-receipts-P10</t>
  </si>
  <si>
    <t xml:space="preserve">append-only write primitive</t>
  </si>
  <si>
    <t xml:space="preserve">fs.appendFileSync of exactly one JSON line; there is no update verb and no delete verb anywhere in the server — mutation is not an operation it performs, and verify_chain catches edits done behind its back.</t>
  </si>
  <si>
    <t xml:space="preserve">validated receipt</t>
  </si>
  <si>
    <t xml:space="preserve">one appended store line</t>
  </si>
  <si>
    <t xml:space="preserve">no code path rewrites or truncates the store (demo seeding only fills an empty store)</t>
  </si>
  <si>
    <t xml:space="preserve">server.mjs:75-77, 247; DESIGN.md:33-35, 141-144</t>
  </si>
  <si>
    <t xml:space="preserve">quilt-mcp-receipts-P11</t>
  </si>
  <si>
    <t xml:space="preserve">verifier-not-co-signer stance</t>
  </si>
  <si>
    <t xml:space="preserve">No draft tool, no sign_receipt helper — signing key material never flows through the wire; the client constructs and signs, the server validates; the reference signer lives in examples/, outside the server.</t>
  </si>
  <si>
    <t xml:space="preserve">client-side signed receipt</t>
  </si>
  <si>
    <t xml:space="preserve">accept | named refusal</t>
  </si>
  <si>
    <t xml:space="preserve">the server never holds or transports client key material beyond its own HMAC secret</t>
  </si>
  <si>
    <t xml:space="preserve">DESIGN.md:108-110; examples/client-demo.mjs</t>
  </si>
  <si>
    <t xml:space="preserve">quilt-mcp-receipts-P12</t>
  </si>
  <si>
    <t xml:space="preserve">stdio JSON-RPC 2.0 transport</t>
  </si>
  <si>
    <t xml:space="preserve">Newline-delimited JSON-RPC 2.0 loop: parse errors → -32700, non-2.0/invalid requests → -32600, notifications (id absent) never reply; buffer-split line handling keeps partial reads honest.</t>
  </si>
  <si>
    <t xml:space="preserve">stdin bytes</t>
  </si>
  <si>
    <t xml:space="preserve">stdout JSON-RPC responses</t>
  </si>
  <si>
    <t xml:space="preserve">a notification never produces a reply; an unparseable line still answers -32700</t>
  </si>
  <si>
    <t xml:space="preserve">-32700 Parse error | -32600 Invalid Request</t>
  </si>
  <si>
    <t xml:space="preserve">server.mjs:260-343</t>
  </si>
  <si>
    <t xml:space="preserve">quilt-mcp-receipts-P13</t>
  </si>
  <si>
    <t xml:space="preserve">MCP handshake + tool surface</t>
  </si>
  <si>
    <t xml:space="preserve">initialize negotiates the protocol version (echoes any 20xx- requested version, else 2024-11-05), advertises capabilities {tools:{listChanged:false}} + serverInfo; tools/list returns exactly the three tools with input schemas; unknown method → -32601, unknown tool name → -32602.</t>
  </si>
  <si>
    <t xml:space="preserve">initialize | ping | tools/list | tools/call requests</t>
  </si>
  <si>
    <t xml:space="preserve">capabilities + serverInfo | tool descriptors | tool results</t>
  </si>
  <si>
    <t xml:space="preserve">the wire surface is exactly three tools; nothing else is callable</t>
  </si>
  <si>
    <t xml:space="preserve">-32601 method not found | -32602 invalid params/unknown tool</t>
  </si>
  <si>
    <t xml:space="preserve">server.mjs:278-309, 190-219; DESIGN.md:71</t>
  </si>
  <si>
    <t xml:space="preserve">quilt-mcp-receipts-P14</t>
  </si>
  <si>
    <t xml:space="preserve">read_receipts recall with cursor</t>
  </si>
  <si>
    <t xml:space="preserve">Returns receipts with seq &gt; since_seq capped at limit∈[1,1000]; bad args refuse with E_BAD_ARGS; corrupted_lines ride along in the payload when present — recall stays honest about its own substrate.</t>
  </si>
  <si>
    <t xml:space="preserve">{since_seq, limit}</t>
  </si>
  <si>
    <t xml:space="preserve">{ok, count, tip, receipts[], corrupted_lines?}</t>
  </si>
  <si>
    <t xml:space="preserve">since_seq must be a non-negative integer; limit in [1,1000]</t>
  </si>
  <si>
    <t xml:space="preserve">E_BAD_ARGS</t>
  </si>
  <si>
    <t xml:space="preserve">server.mjs:222-233</t>
  </si>
  <si>
    <t xml:space="preserve">quilt-mcp-receipts-P15</t>
  </si>
  <si>
    <t xml:space="preserve">demo seeding that never deletes</t>
  </si>
  <si>
    <t xml:space="preserve">--demo seeds 5 fleet-real receipts (genesis, engine.run.sealed, lesson.minted, organ.boot.verified, scout.report.landed) ONLY into an empty/missing store, and refuses to seed a corrupt store — the convenience path cannot become an eraser.</t>
  </si>
  <si>
    <t xml:space="preserve">--demo flag, store state</t>
  </si>
  <si>
    <t xml:space="preserve">seeded store + stderr notice with tip</t>
  </si>
  <si>
    <t xml:space="preserve">seed only if receipts.length === 0 and no corrupted lines</t>
  </si>
  <si>
    <t xml:space="preserve">server.mjs:156-187</t>
  </si>
  <si>
    <t xml:space="preserve">quilt-mcp-receipts-P16</t>
  </si>
  <si>
    <t xml:space="preserve">dev-secret loud warning</t>
  </si>
  <si>
    <t xml:space="preserve">When the built-in fallback HMAC secret is in use the server warns on stderr (unless --quiet-notice) — an honest residual: HMAC shared-secret signing means any writer holds full signing power.</t>
  </si>
  <si>
    <t xml:space="preserve">env MCP_RECEIPT_SECRET</t>
  </si>
  <si>
    <t xml:space="preserve">stderr warning</t>
  </si>
  <si>
    <t xml:space="preserve">fallback-secret use is never silent</t>
  </si>
  <si>
    <t xml:space="preserve">server.mjs:15, 25, 31-33; DESIGN.md:114-119</t>
  </si>
  <si>
    <t xml:space="preserve">quilt-research-canons-P01</t>
  </si>
  <si>
    <t xml:space="preserve">dated artifact file</t>
  </si>
  <si>
    <t xml:space="preserve">The irreducible representation is a dated file in a git repo — md for arguments, json for measurements, py for runs; discoverability starts at the filesystem, not a memory or a chat log.</t>
  </si>
  <si>
    <t xml:space="preserve">run outputs / session prose</t>
  </si>
  <si>
    <t xml:space="preserve">committed dated file</t>
  </si>
  <si>
    <t xml:space="preserve">README.md:26-40 (tree); git log (commits e92e88a, 4cd55f1 dated artifacts)</t>
  </si>
  <si>
    <t xml:space="preserve">quilt-research-canons-P02</t>
  </si>
  <si>
    <t xml:space="preserve">JSON measurement records</t>
  </si>
  <si>
    <t xml:space="preserve">jev-velocity.json {summary, questions}, moth-fidelity-matrix.json {timestamp, n_samples_per_clip, shots, schemes, clips, matrix}, quantum-chaos-001.json {refusals, quantum, jev, chain, summary, verdict} — machine-readable verdicts with parameters and outcomes co-located.</t>
  </si>
  <si>
    <t xml:space="preserve">sprint runs</t>
  </si>
  <si>
    <t xml:space="preserve">parsable JSON artifacts</t>
  </si>
  <si>
    <t xml:space="preserve">must parse and carry its own provenance fields</t>
  </si>
  <si>
    <t xml:space="preserve">research/*.json (all 3 JSON.parse-verified this lane)</t>
  </si>
  <si>
    <t xml:space="preserve">quilt-research-canons-P03</t>
  </si>
  <si>
    <t xml:space="preserve">sprint script as self-contained run</t>
  </si>
  <si>
    <t xml:space="preserve">Each sprint-XXX-NNN.py is std-lib + env keys, re-runnable independently, and lands its output at a declared path — a witness that can be re-executed to re-derive its claim.</t>
  </si>
  <si>
    <t xml:space="preserve">env keys, API endpoints</t>
  </si>
  <si>
    <t xml:space="preserve">output JSON at the declared path</t>
  </si>
  <si>
    <t xml:space="preserve">file must be re-runnable without asking a human anything</t>
  </si>
  <si>
    <t xml:space="preserve">sprints/sprint-jev-001.py:33-40; SPRINT-LINEAGE.md:66</t>
  </si>
  <si>
    <t xml:space="preserve">quilt-research-canons-P04</t>
  </si>
  <si>
    <t xml:space="preserve">embedded NEXT-SPRINT SPEC</t>
  </si>
  <si>
    <t xml:space="preserve">The mechanism that makes the chain self-extending: the header carries the spec for XXX-(NNN+1) — concrete questions/signals, output location, the 'voice memo' the next header should use, deliverables — plus the mandatory '&gt;&gt;&gt; NEXT:' print trailer.</t>
  </si>
  <si>
    <t xml:space="preserve">this sprint's results</t>
  </si>
  <si>
    <t xml:space="preserve">next sprint's specification</t>
  </si>
  <si>
    <t xml:space="preserve">spec must be specific enough to implement without clarification</t>
  </si>
  <si>
    <t xml:space="preserve">sprints/sprint-jev-001.py:41-58; SPRINT-LINEAGE.md:24-33</t>
  </si>
  <si>
    <t xml:space="preserve">quilt-research-canons-P05</t>
  </si>
  <si>
    <t xml:space="preserve">output archive + lineage table</t>
  </si>
  <si>
    <t xml:space="preserve">SPRINT-LINEAGE.md records which lineages are active and where outputs are archived (✅ archived at /workspace/research/…), so the chain's state is queryable from one table rather than by opening every file.</t>
  </si>
  <si>
    <t xml:space="preserve">sprint states</t>
  </si>
  <si>
    <t xml:space="preserve">lineage table rows</t>
  </si>
  <si>
    <t xml:space="preserve">registry drift observed this lane: sprint-quantum-001.py present in sprints/ but absent from both README's tree and SPRINT-LINEAGE's tables</t>
  </si>
  <si>
    <t xml:space="preserve">research/SPRINT-LINEAGE.md:35-47; README.md:35-39; sprints/ (5 files)</t>
  </si>
  <si>
    <t xml:space="preserve">quilt-research-canons-P06</t>
  </si>
  <si>
    <t xml:space="preserve">the sprint contract</t>
  </si>
  <si>
    <t xml:space="preserve">Every sprint-XXX-NNN.py MUST carry the seven header sections (Sprint lineage, Author, Date, DOCTRINE, WHAT THIS SPRINT DOES ≤10 lines, OUTPUT, NEXT-SPRINT SPEC), end with the '&gt;&gt;&gt; NEXT: write sprint-XXX-(NNN+1).py …' print, and NOT spawn sub-agents in its runtime (they routinely return without writing files — direct execution is the reliable path).</t>
  </si>
  <si>
    <t xml:space="preserve">sprint file</t>
  </si>
  <si>
    <t xml:space="preserve">conformance | non-conformance</t>
  </si>
  <si>
    <t xml:space="preserve">all seven sections + trailer present; no sub-agent spawning</t>
  </si>
  <si>
    <t xml:space="preserve">non-conformant sprint — the next agent cannot proceed from it (checked this lane: 5/5 conform)</t>
  </si>
  <si>
    <t xml:space="preserve">research/SPRINT-LINEAGE.md:15-26</t>
  </si>
  <si>
    <t xml:space="preserve">quilt-research-canons-P07</t>
  </si>
  <si>
    <t xml:space="preserve">inter-relation requirement</t>
  </si>
  <si>
    <t xml:space="preserve">The next sprint's voice memo MUST reference the prior sprint's filename so each sprint declares its dependency — the chain is inter-relational, not a pile of independent files.</t>
  </si>
  <si>
    <t xml:space="preserve">prior sprint id</t>
  </si>
  <si>
    <t xml:space="preserve">successor header reference</t>
  </si>
  <si>
    <t xml:space="preserve">successor declares its dependency on the predecessor</t>
  </si>
  <si>
    <t xml:space="preserve">sprints/sprint-jev-001.py:56-58; SPRINT-LINEAGE.md:56</t>
  </si>
  <si>
    <t xml:space="preserve">quilt-research-canons-P08</t>
  </si>
  <si>
    <t xml:space="preserve">falsifiability method</t>
  </si>
  <si>
    <t xml:space="preserve">Fixed method ordering across all problems: falsifiable hypothesis → small experiment on existing fleet + stdlib + available APIs → recorded verdict → new questions surfaced; hypotheses are written BEFORE results and kept visible even when falsified (H1 original shown struck-down beside H1 refined).</t>
  </si>
  <si>
    <t xml:space="preserve">a research question</t>
  </si>
  <si>
    <t xml:space="preserve">hypothesis + experiment + verdict + new questions</t>
  </si>
  <si>
    <t xml:space="preserve">hypothesis must be stated before the experiment; verdict must be recorded whatever it is</t>
  </si>
  <si>
    <t xml:space="preserve">research/2026-09-24-novel-problems-report.md:15, 23-31</t>
  </si>
  <si>
    <t xml:space="preserve">quilt-research-canons-P09</t>
  </si>
  <si>
    <t xml:space="preserve">canon-promotion gate velocity</t>
  </si>
  <si>
    <t xml:space="preserve">Canon moves FAST (first call yes at p≥0.85 → don't re-ask 12 times), speculation moves SLOW (a 0.55 reading never promotes after 3 calls); the gate's calibration is itself measured (first-stable-trial = index where remaining values stay within ±0.05 of mean).</t>
  </si>
  <si>
    <t xml:space="preserve">oracle readings per question</t>
  </si>
  <si>
    <t xml:space="preserve">velocity profile</t>
  </si>
  <si>
    <t xml:space="preserve">promotion only after the stability criterion holds</t>
  </si>
  <si>
    <t xml:space="preserve">sprints/sprint-jev-001.py:9-14, 19-21; research/jev-velocity.json (5q × 20 trials, most stable at trial 1)</t>
  </si>
  <si>
    <t xml:space="preserve">quilt-research-canons-P10</t>
  </si>
  <si>
    <t xml:space="preserve">README as agent-facing discoverability layer</t>
  </si>
  <si>
    <t xml:space="preserve">The README is written for another agent: what the repo is, a literal how-to-use command block (head the sprint, grep the NEXT-SPRINT SPEC, run it, read the protocol), doctrine, cross-references, status — 'if you're another agent, read this README first'.</t>
  </si>
  <si>
    <t xml:space="preserve">repo contents</t>
  </si>
  <si>
    <t xml:space="preserve">orientation for the next agent</t>
  </si>
  <si>
    <t xml:space="preserve">README tree drift vs actual directory (honest negative recorded this lane)</t>
  </si>
  <si>
    <t xml:space="preserve">README.md:7, 44-61, 80-101</t>
  </si>
  <si>
    <t xml:space="preserve">quilt-research-canons-P11</t>
  </si>
  <si>
    <t xml:space="preserve">multi-voice sprint frames</t>
  </si>
  <si>
    <t xml:space="preserve">Sprint frames span substrates and voices: jev (Typesafe), moth (quantumaudio fidelity matrix: QSM best continuous r=0.98-1.00, QPAM all-rounder r=0.73-0.87), zai (3-voice chord), deepinfra (6-model chord), quantum (certified-receipts → oracle votes) — each frame the same contract on a different substrate.</t>
  </si>
  <si>
    <t xml:space="preserve">substrate APIs</t>
  </si>
  <si>
    <t xml:space="preserve">per-substrate measurement artifacts</t>
  </si>
  <si>
    <t xml:space="preserve">chronic API issues stated honestly in the status block (ZAI 429 on rapid-fire, MOTH MSQPAM/MQSM unclear in 0.2.0, Kimi suspended)</t>
  </si>
  <si>
    <t xml:space="preserve">README.md:35-40, 93-100; research/moth-fidelity-matrix.md; sprints/sprint-quantum-001.py</t>
  </si>
  <si>
    <t xml:space="preserve">quilt-research-canons-P12</t>
  </si>
  <si>
    <t xml:space="preserve">wipe-survival doctrine</t>
  </si>
  <si>
    <t xml:space="preserve">When the sandbox resets, the successor reads the most recent sprint's header (canon-stable today) + next-sprint spec (what to build next), re-runs, validates, writes the next — the pattern survives by writing itself into the filesystem, not into memory.</t>
  </si>
  <si>
    <t xml:space="preserve">the sprint chain on disk</t>
  </si>
  <si>
    <t xml:space="preserve">continuity across wipes</t>
  </si>
  <si>
    <t xml:space="preserve">artifacts + intent-to-continue must both survive the wipe boundary</t>
  </si>
  <si>
    <t xml:space="preserve">research/SPRINT-LINEAGE.md:9, 68-72</t>
  </si>
  <si>
    <t xml:space="preserve">quilt-research-canons-P13</t>
  </si>
  <si>
    <t xml:space="preserve">verdict ledger with honest negatives</t>
  </si>
  <si>
    <t xml:space="preserve">The canon's evidence layer: H1 FALSIFIED+REFINED (twin brews byte-identical under identical inputs), H2 CONFIRMED at ~85%, H3 CONFIRMED, bonus LIVE CANON-CHORD, and quantum-chaos 'FALSIFIED as posed — Q1=0.14, Q2=0.31, control=0.13' with its calibration against jev velocity recorded — refutation is canon, not shame.</t>
  </si>
  <si>
    <t xml:space="preserve">experiment runs</t>
  </si>
  <si>
    <t xml:space="preserve">recorded verdicts</t>
  </si>
  <si>
    <t xml:space="preserve">no verdict is discarded for being negative</t>
  </si>
  <si>
    <t xml:space="preserve">research/2026-09-24-novel-problems-report.md:23, 31, 59-63, 100-104, 143, 217; research/quantum-chaos-001.json (verdict block)</t>
  </si>
  <si>
    <t xml:space="preserve">quilt-research-canons-P14</t>
  </si>
  <si>
    <t xml:space="preserve">witness-chain fork evidence</t>
  </si>
  <si>
    <t xml:space="preserve">The Fork experiment's recorded evidence table: same recipe + same inputs → chains byte-identical (both 8/8 tests); same recipe + different inputs → intact but distinct chains — the result that falsified the original H1, kept as the canon entry for fork semantics.</t>
  </si>
  <si>
    <t xml:space="preserve">fork-A/fork-B runs + comparison runners</t>
  </si>
  <si>
    <t xml:space="preserve">evidence table + scratch artifacts</t>
  </si>
  <si>
    <t xml:space="preserve">research/2026-09-24-novel-problems-report.md:33-52</t>
  </si>
  <si>
    <t xml:space="preserve">quilt-quant-P01</t>
  </si>
  <si>
    <t xml:space="preserve">Vendored patched quilt engine</t>
  </si>
  <si>
    <t xml:space="preserve">The reactive cell graph (arcade lineage, patches 1-12) with effectful invalidation and fresh-by-default program cells; zero further engine changes.</t>
  </si>
  <si>
    <t xml:space="preserve">cell set declarations, value pushes</t>
  </si>
  <si>
    <t xml:space="preserve">re-priced cell graph, program-cell executions</t>
  </si>
  <si>
    <t xml:space="preserve">If a quant check fails it is the sheet's fault, not the engine's (engine frozen, verified against 36 upstream tests)</t>
  </si>
  <si>
    <t xml:space="preserve">Engine drift would invalidate every cross-check; prevented by vendoring verbatim</t>
  </si>
  <si>
    <t xml:space="preserve">PROVENANCE.md:3-15</t>
  </si>
  <si>
    <t xml:space="preserve">quilt-quant-P02</t>
  </si>
  <si>
    <t xml:space="preserve">Belief cells and the one tape</t>
  </si>
  <si>
    <t xml:space="preserve">10 visible w.* belief value cells + w.state (participation/dormancy/champion) and mkt.ohlcv, 240 seeded bars — the only input (M1); mkt.truth is hidden and policy never reads it.</t>
  </si>
  <si>
    <t xml:space="preserve">seeded synthetic market (seed 20260925)</t>
  </si>
  <si>
    <t xml:space="preserve">belief state readable by proposal and learning cells</t>
  </si>
  <si>
    <t xml:space="preserve">Tape shorter than 60 bars or containing a non-finite positive bar halts everything (M1)</t>
  </si>
  <si>
    <t xml:space="preserve">NaN bar poisons downstream — harness proves M1 halts on it</t>
  </si>
  <si>
    <t xml:space="preserve">lab/sheet.mjs:292-293,344-345</t>
  </si>
  <si>
    <t xml:space="preserve">quilt-quant-P03</t>
  </si>
  <si>
    <t xml:space="preserve">Waveform perception</t>
  </si>
  <si>
    <t xml:space="preserve">Goertzel power at periods 8-64 over returns, dominant period P*, sin/cos resonance projection, trend R2; recovers the hidden 41/13-bar cycles exactly via greedy non-adjacent peak picking.</t>
  </si>
  <si>
    <t xml:space="preserve">mkt.ohlcv closes</t>
  </si>
  <si>
    <t xml:space="preserve">wave.spectrum {p_star, ratio, amp, phase, slope, r2}, wave.regime</t>
  </si>
  <si>
    <t xml:space="preserve">Indicators may be null while warming up — nulls mean FLAT, never a guess</t>
  </si>
  <si>
    <t xml:space="preserve">Window leakage fakes neighbor peaks without non-adjacent picking</t>
  </si>
  <si>
    <t xml:space="preserve">lab/policy.src.mjs:48-101</t>
  </si>
  <si>
    <t xml:space="preserve">quilt-quant-P04</t>
  </si>
  <si>
    <t xml:space="preserve">The world: sim.run publishes a receipt</t>
  </si>
  <si>
    <t xml:space="preserve">Full backtest of the CURRENT beliefs (entries at close, 6bps fees, no leverage, stops/targets/ATR, cycle expiry), publishing sim.last with a hash; analytics are formulas over the receipt.</t>
  </si>
  <si>
    <t xml:space="preserve">w.* beliefs, mkt.ohlcv, sig.proposal config</t>
  </si>
  <si>
    <t xml:space="preserve">sim.last receipt {metrics, trades, halt, hash}</t>
  </si>
  <si>
    <t xml:space="preserve">No lookahead: bar i may only see bars &lt;= i (truncated-tape policy replay probe)</t>
  </si>
  <si>
    <t xml:space="preserve">Lookahead silently inflates Sharpe — probed by mutating bar 400</t>
  </si>
  <si>
    <t xml:space="preserve">lab/sheet.mjs:372,473</t>
  </si>
  <si>
    <t xml:space="preserve">quilt-quant-P05</t>
  </si>
  <si>
    <t xml:space="preserve">Moth-entropy learning step</t>
  </si>
  <si>
    <t xml:space="preserve">learn.step perturbs two weights per round (least-tried non-meta + moth-random) using qpixl shot-noise floats via moth.pool/moth.cursor, re-runs the world, keeps only strict improvements.</t>
  </si>
  <si>
    <t xml:space="preserve">moth.pool entropy floats, w.state participation, sim.last</t>
  </si>
  <si>
    <t xml:space="preserve">updated w.* or a refusal row in ledger.rows</t>
  </si>
  <si>
    <t xml:space="preserve">Accept iff score = sharpe - 2*maxdd - 0.5*[trades&lt;3] strictly improves</t>
  </si>
  <si>
    <t xml:space="preserve">Noise-chasing would degrade the desk — refusals are receipts, not losses</t>
  </si>
  <si>
    <t xml:space="preserve">lab/sheet.mjs:523; lab/sheet.mjs:93-98</t>
  </si>
  <si>
    <t xml:space="preserve">quilt-quant-P06</t>
  </si>
  <si>
    <t xml:space="preserve">M8 dormancy (pruning)</t>
  </si>
  <si>
    <t xml:space="preserve">A weight that across 7+ tries never moves the score by &gt;= 0.02 goes DORMANT: frozen at value, removed from the search, receipted; meta-knob w.step_scale exempt.</t>
  </si>
  <si>
    <t xml:space="preserve">w.state tries/wins/maxd per weight</t>
  </si>
  <si>
    <t xml:space="preserve">dormant set, smaller active search space</t>
  </si>
  <si>
    <t xml:space="preserve">Dormancy requires &gt;= 7 tries AND max delta &lt; 0.02 — decided from data, not luck</t>
  </si>
  <si>
    <t xml:space="preserve">Premature freezing would lose latent weights; the try-count floor guards</t>
  </si>
  <si>
    <t xml:space="preserve">lab/sheet.mjs:100-104</t>
  </si>
  <si>
    <t xml:space="preserve">quilt-quant-P07</t>
  </si>
  <si>
    <t xml:space="preserve">Two-block edge-triggered proposal</t>
  </si>
  <si>
    <t xml:space="preserve">TREND block (sma-gap x momentum-z) and CYCLE block (rsi extreme aligned with price-wave phase at P*) vote only on FRESH crossings; disagreement yields a CONFLICT block at strength 0.5; every proposal carries its reason.</t>
  </si>
  <si>
    <t xml:space="preserve">ind.smaf/smas/rsi/momz, wave.spectrum, w.* thresholds</t>
  </si>
  <si>
    <t xml:space="preserve">sig.proposal {side, strength, block, reason}</t>
  </si>
  <si>
    <t xml:space="preserve">Edge-trigger: the vote must be absent on the previous bar (a signal is an event, not a state)</t>
  </si>
  <si>
    <t xml:space="preserve">Held-state voting would overtrade — the harness audits proposal structure</t>
  </si>
  <si>
    <t xml:space="preserve">lab/policy.src.mjs:103-151</t>
  </si>
  <si>
    <t xml:space="preserve">quilt-quant-P08</t>
  </si>
  <si>
    <t xml:space="preserve">M5 confirmation rails</t>
  </si>
  <si>
    <t xml:space="preserve">gateLite vetoes inside the simulation loop: dd-halt 12%, overtrade brake 8 changes/20 bars, vol-z cap, cycle entries need the price-wave behind them, trend SHORT against TREND_UP at strength &lt; 0.8.</t>
  </si>
  <si>
    <t xml:space="preserve">sig.proposal, state (ddNow, changes), volz, wave</t>
  </si>
  <si>
    <t xml:space="preserve">null (allowed) or veto note</t>
  </si>
  <si>
    <t xml:space="preserve">A proposal acts only if every rail returns null — verdict lists its checks</t>
  </si>
  <si>
    <t xml:space="preserve">Each rail is individually falsifiable; harness fires dd-halt and veto paths explicitly</t>
  </si>
  <si>
    <t xml:space="preserve">lab/policy.src.mjs:153-172</t>
  </si>
  <si>
    <t xml:space="preserve">quilt-quant-P09</t>
  </si>
  <si>
    <t xml:space="preserve">Entanglement veto</t>
  </si>
  <si>
    <t xml:space="preserve">When the quantum graph read (graph-v1 tomography, 4 feature qubits, ZZ couplings) reports |ZZ| &gt;= 0.82 between momentum and mean-reversion, a CONFLICT proposal is refused: the signals are locked, not independent.</t>
  </si>
  <si>
    <t xml:space="preserve">moth.entangle ZZ read, sig.proposal block == conflict</t>
  </si>
  <si>
    <t xml:space="preserve">veto or pass</t>
  </si>
  <si>
    <t xml:space="preserve">|ZZ(mom,rev)| &lt; 0.82 required for CONFLICT proposals</t>
  </si>
  <si>
    <t xml:space="preserve">Live run measured ZZ -0.937 naive vs -0.028 learned; threshold is a demo constant (honest limit)</t>
  </si>
  <si>
    <t xml:space="preserve">lab/sheet.mjs:83-85; lab/sheet.mjs:519</t>
  </si>
  <si>
    <t xml:space="preserve">quilt-quant-P10</t>
  </si>
  <si>
    <t xml:space="preserve">Analyst letter fence</t>
  </si>
  <si>
    <t xml:space="preserve">ai.digest compresses distributed state to &lt;=600 chars; ai.analyst (typed ai cell) must answer ONE letter A-E (keep/explore/exploit/prune/re-tune); the fence lives between model and sheet, mock is state-reactive and labeled.</t>
  </si>
  <si>
    <t xml:space="preserve">regime, scores, dormant set, ZZ read, weights</t>
  </si>
  <si>
    <t xml:space="preserve">letter -&gt; bounded action (e.g. step_scale scaling, force-prune)</t>
  </si>
  <si>
    <t xml:space="preserve">Reply must decode to exactly one of A-E — anything else is REFUSED with a reason</t>
  </si>
  <si>
    <t xml:space="preserve">An adversarial digest cannot push the analyst outside the fence (harness check)</t>
  </si>
  <si>
    <t xml:space="preserve">lab/play.mjs:29-80; lab/sheet.mjs:611,640</t>
  </si>
  <si>
    <t xml:space="preserve">quilt-quant-P11</t>
  </si>
  <si>
    <t xml:space="preserve">Moth-quantum client with cell-level honesty</t>
  </si>
  <si>
    <t xml:space="preserve">submit -&gt; poll -&gt; result client for coin-toss-v1, qpixl-v1, graph-v1; every call receipted in moth.journal; offline mode swaps synthetic data flagged mock:true at the cell level — the sheet never knows, the audience always does.</t>
  </si>
  <si>
    <t xml:space="preserve">return waveform / feature encoding, MOTH key (env only)</t>
  </si>
  <si>
    <t xml:space="preserve">entropy floats, waveform drift, ZZ tomography</t>
  </si>
  <si>
    <t xml:space="preserve">Every API call must land in moth.journal; offline substitutions must be labeled mock:true</t>
  </si>
  <si>
    <t xml:space="preserve">Unlabeled mock data would fake quantum provenance</t>
  </si>
  <si>
    <t xml:space="preserve">lab/README.md:137-139; lab/sheet.mjs:516-520</t>
  </si>
  <si>
    <t xml:space="preserve">quilt-quant-P12</t>
  </si>
  <si>
    <t xml:space="preserve">Glass: lamp, listener and sparkline</t>
  </si>
  <si>
    <t xml:space="preserve">sig.lamp shows the gate verdict, lamp.gate listener announces confirmations, art.equity renders the equity curve as a unicode sparkline — the cells themselves rendered for the audience.</t>
  </si>
  <si>
    <t xml:space="preserve">sig.confirm verdict, met.* metrics</t>
  </si>
  <si>
    <t xml:space="preserve">human-visible verdict lamp + equity glass</t>
  </si>
  <si>
    <t xml:space="preserve">A silent gate would hide refusals; the lamp makes every verdict watchable</t>
  </si>
  <si>
    <t xml:space="preserve">lab/sheet.mjs:494-504,647</t>
  </si>
  <si>
    <t xml:space="preserve">quilt-quant-P13</t>
  </si>
  <si>
    <t xml:space="preserve">Independent reference stack</t>
  </si>
  <si>
    <t xml:space="preserve">The harness carries its own quant stack (prefix-sum SMAs, delta-array Wilder RSI, settlement accounting, independent DFT) written separately from the sheet kernel, cross-checked to 1e-9 including the full trade sequence.</t>
  </si>
  <si>
    <t xml:space="preserve">same tape and beliefs</t>
  </si>
  <si>
    <t xml:space="preserve">agreement verdicts per bar/metric</t>
  </si>
  <si>
    <t xml:space="preserve">Return/Sharpe/maxdd/exposure and trade sequence must match the reference to 1e-9</t>
  </si>
  <si>
    <t xml:space="preserve">Any kernel drift between sheet and reference fails the harness loudly</t>
  </si>
  <si>
    <t xml:space="preserve">lab/play.mjs:7-13,89-190,592-602</t>
  </si>
  <si>
    <t xml:space="preserve">quilt-quant-P14</t>
  </si>
  <si>
    <t xml:space="preserve">Witness chain over learning rounds</t>
  </si>
  <si>
    <t xml:space="preserve">ledger.rows is an fnv1a64 chain (one row per round, GENESIS-rooted); the harness re-derives it and proves one flipped byte breaks it at the flipped position.</t>
  </si>
  <si>
    <t xml:space="preserve">learning/analyst round rows</t>
  </si>
  <si>
    <t xml:space="preserve">tamper-evident ledger</t>
  </si>
  <si>
    <t xml:space="preserve">Chain re-derivation must succeed; tampering must break it visibly</t>
  </si>
  <si>
    <t xml:space="preserve">Silent history edits — caught by hash mismatch at the flipped byte</t>
  </si>
  <si>
    <t xml:space="preserve">lab/sheet.mjs:608; lab/play.mjs:16,584-614</t>
  </si>
  <si>
    <t xml:space="preserve">quilt-dba-P01</t>
  </si>
  <si>
    <t xml:space="preserve">Fixed-point scaled-integer substrate</t>
  </si>
  <si>
    <t xml:space="preserve">All ledger quantities are scaled integers (unit 1/1000 bit): C_SCALED=1585, ETA_SCALE=2000, gamma constants — no floating-point nondeterminism in JEPA or DoubleEntry cells; vibe floats accumulate through a fixed op order.</t>
  </si>
  <si>
    <t xml:space="preserve">sensor/mission events</t>
  </si>
  <si>
    <t xml:space="preserve">deterministic ledger arithmetic</t>
  </si>
  <si>
    <t xml:space="preserve">Boundary tolerance 1e-9 scaled units — comparisons are exact at the integers</t>
  </si>
  <si>
    <t xml:space="preserve">Float drift would break byte-identical replay (seed3 §4.1 determinism demand)</t>
  </si>
  <si>
    <t xml:space="preserve">dba/kernels.mjs:8-22</t>
  </si>
  <si>
    <t xml:space="preserve">quilt-dba-P02</t>
  </si>
  <si>
    <t xml:space="preserve">Checkpointable randomness</t>
  </si>
  <si>
    <t xml:space="preserve">mulberry32 single-uint32 RNG plus a stateless keyed flicker bit (fnv1a64 of worldSeed:evalN:i) — no hidden rng state, so any mid-run checkpoint replays bit-identically.</t>
  </si>
  <si>
    <t xml:space="preserve">worldSeed, evalN</t>
  </si>
  <si>
    <t xml:space="preserve">uniform draws, hazard/food placement, flicker</t>
  </si>
  <si>
    <t xml:space="preserve">Every draw must be recoverable from (seed, index) alone</t>
  </si>
  <si>
    <t xml:space="preserve">Hidden RNG state would make resume divergence silent</t>
  </si>
  <si>
    <t xml:space="preserve">dba/kernels.mjs:49-68</t>
  </si>
  <si>
    <t xml:space="preserve">quilt-dba-P03</t>
  </si>
  <si>
    <t xml:space="preserve">Entropy vault over real cached packets</t>
  </si>
  <si>
    <t xml:space="preserve">DbaVault reads REAL cached moth packets from disk (moth-holdem.json, moth-e16.json), stretches them into a bit pool (fnv1a64 counter-mode), hard-labeled live:false / mock:true — a mock never pretends to be quantum.</t>
  </si>
  <si>
    <t xml:space="preserve">cached packet files (read-only)</t>
  </si>
  <si>
    <t xml:space="preserve">poolDigest, per-purpose sub-streams, u32 seeds</t>
  </si>
  <si>
    <t xml:space="preserve">Monobit sanity: pool rejected unless ones-ratio in (0.4, 0.6)</t>
  </si>
  <si>
    <t xml:space="preserve">A degenerate pool would correlate world randomness; monobit throws on breach</t>
  </si>
  <si>
    <t xml:space="preserve">dba/vault.mjs:31-77</t>
  </si>
  <si>
    <t xml:space="preserve">quilt-dba-P04</t>
  </si>
  <si>
    <t xml:space="preserve">Deterministic world generation</t>
  </si>
  <si>
    <t xml:space="preserve">16x16 grid, 4 hazard blocks and 4 zones x 10 food items generated deterministically from worldSeed; hazards never overlap and never sit on the start cell.</t>
  </si>
  <si>
    <t xml:space="preserve">worldSeed</t>
  </si>
  <si>
    <t xml:space="preserve">world layout</t>
  </si>
  <si>
    <t xml:space="preserve">Start cell (8,8) is never a hazard</t>
  </si>
  <si>
    <t xml:space="preserve">Overlapping hazards would silently shrink the world</t>
  </si>
  <si>
    <t xml:space="preserve">dba/kernels.mjs:73-90</t>
  </si>
  <si>
    <t xml:space="preserve">quilt-dba-P05</t>
  </si>
  <si>
    <t xml:space="preserve">Z_in sensors</t>
  </si>
  <si>
    <t xml:space="preserve">sensors.vision = inverse L1 distance to nearest reward scaled to salience 0..1000; sensors.proprio = own position {x,y,t}.</t>
  </si>
  <si>
    <t xml:space="preserve">env.state, env.cfg, env.tasks</t>
  </si>
  <si>
    <t xml:space="preserve">salience, proprioception</t>
  </si>
  <si>
    <t xml:space="preserve">Salience clamped to [0,1000] (smoke pins 440 -&gt; in range)</t>
  </si>
  <si>
    <t xml:space="preserve">Unbounded salience would spike the reflex path</t>
  </si>
  <si>
    <t xml:space="preserve">dba/sheet.mjs:78-92</t>
  </si>
  <si>
    <t xml:space="preserve">quilt-dba-P06</t>
  </si>
  <si>
    <t xml:space="preserve">JEPA predict + integer surprise</t>
  </si>
  <si>
    <t xml:space="preserve">world.predict: momentum next-position (pos + (pos - prev), clamped) + reward guess from memory.semantic; world.surprise: |dpos|*250 + reward_miss*500 — integer L1 surprise, eta.</t>
  </si>
  <si>
    <t xml:space="preserve">env.state, memory.semantic</t>
  </si>
  <si>
    <t xml:space="preserve">predicted next position, surprise scalar</t>
  </si>
  <si>
    <t xml:space="preserve">Surprise is a pure integer function of state — recomputable at any checkpoint</t>
  </si>
  <si>
    <t xml:space="preserve">Prediction drift would corrupt the competence signal that gates growth</t>
  </si>
  <si>
    <t xml:space="preserve">dba/sheet.mjs:95-110</t>
  </si>
  <si>
    <t xml:space="preserve">quilt-dba-P07</t>
  </si>
  <si>
    <t xml:space="preserve">Pincher reflex fast path</t>
  </si>
  <si>
    <t xml:space="preserve">reflex.orient fires at salience &gt; 800 (no teacher, no deliberation); when it fires, policy.action is overridden by pure salience climb.</t>
  </si>
  <si>
    <t xml:space="preserve">sensors.vision</t>
  </si>
  <si>
    <t xml:space="preserve">reflex bit, override branch in policy.action</t>
  </si>
  <si>
    <t xml:space="preserve">Strictly salience &gt; 800 — the threshold is the whole reflex policy</t>
  </si>
  <si>
    <t xml:space="preserve">Reflex hijack of deliberate action near rewards is the intended fast path, not a bug</t>
  </si>
  <si>
    <t xml:space="preserve">dba/sheet.mjs:113-115,170-180</t>
  </si>
  <si>
    <t xml:space="preserve">quilt-dba-P08</t>
  </si>
  <si>
    <t xml:space="preserve">Growth: adding cells IS advancing stages</t>
  </si>
  <si>
    <t xml:space="preserve">state.stage accumulates position only while surprise declines (gain/50 clamped 0..10); position &gt;= 1000 loads the stage-2 sheet (sensors.language + teacher.label, policy.action reads them) via engine.loadSheet; skills.graph beta1 = E - V + C moves -1 -&gt; 1.</t>
  </si>
  <si>
    <t xml:space="preserve">world.surprise, state.position</t>
  </si>
  <si>
    <t xml:space="preserve">grown sheet with new live cells</t>
  </si>
  <si>
    <t xml:space="preserve">Position accrues ONLY on declining surprise (competence, not reward)</t>
  </si>
  <si>
    <t xml:space="preserve">Reward alone never grows the sheet — E-D1 R2: unguided arm 10 vs 24500 position</t>
  </si>
  <si>
    <t xml:space="preserve">dba/sheet.mjs:31-33,202-210,233-254</t>
  </si>
  <si>
    <t xml:space="preserve">quilt-dba-P09</t>
  </si>
  <si>
    <t xml:space="preserve">DoubleEntry conservation law</t>
  </si>
  <si>
    <t xml:space="preserve">ledger.gamma = 100 base + 150 per teacher consult; ledger.eta = surprise; ledger.check: gamma + eta &lt;= 1585 ? ok : refuse; conservation.test probes the boundary input-driven — 1585 passes, 1586 refuses exactly.</t>
  </si>
  <si>
    <t xml:space="preserve">teacher.jev_log, world.surprise, probe input</t>
  </si>
  <si>
    <t xml:space="preserve">verdict ok|refuse, conservation.ledger refusal receipts</t>
  </si>
  <si>
    <t xml:space="preserve">gamma + eta &lt;= C = log2(3) x 1000, exact at the scaled integers</t>
  </si>
  <si>
    <t xml:space="preserve">R3 honest negative: never breached in vivo at these parameters — the boundary test carries the guarantee</t>
  </si>
  <si>
    <t xml:space="preserve">dba/sheet.mjs:184-199</t>
  </si>
  <si>
    <t xml:space="preserve">quilt-dba-P10</t>
  </si>
  <si>
    <t xml:space="preserve">JEV typed-decision gate (mock calibration)</t>
  </si>
  <si>
    <t xml:space="preserve">teacher.jev_gate: p = 0.5 + 0.5*tanh((success - 0.75)*8) over the last-100 success ring; &gt; 0.95 execute, 0.70-0.95 escalate, &lt; 0.70 discard; LABELED mock:true, every consult logged in teacher.jev_log.</t>
  </si>
  <si>
    <t xml:space="preserve">env.success_ring, teacher.mode</t>
  </si>
  <si>
    <t xml:space="preserve">typed decision {type:'noul', noul, action, mock:true}</t>
  </si>
  <si>
    <t xml:space="preserve">Every gate row carries the mock label — the OFF voice never impersonates live judgment</t>
  </si>
  <si>
    <t xml:space="preserve">Unlabeled mock would fake a live JEV verdict</t>
  </si>
  <si>
    <t xml:space="preserve">dba/sheet.mjs:118-131</t>
  </si>
  <si>
    <t xml:space="preserve">quilt-dba-P11</t>
  </si>
  <si>
    <t xml:space="preserve">Curriculum switching policy</t>
  </si>
  <si>
    <t xml:space="preserve">teacher.feedback: in jev-gated mode only an EXECUTE verdict with noul &gt; 0.95 switches the task, and only upward (easy -&gt; hard, zone of proximal development); unguided arm D switches every 500 evals as the control.</t>
  </si>
  <si>
    <t xml:space="preserve">teacher.jev_gate verdict, env.cfg task</t>
  </si>
  <si>
    <t xml:space="preserve">switch_to decision</t>
  </si>
  <si>
    <t xml:space="preserve">Only EXECUTE + noul &gt; 0.95 + task &lt; 3 may switch — and never downward</t>
  </si>
  <si>
    <t xml:space="preserve">Unguided switching grows rewards but never development (E-D1 R2 control)</t>
  </si>
  <si>
    <t xml:space="preserve">dba/sheet.mjs:133-142</t>
  </si>
  <si>
    <t xml:space="preserve">quilt-dba-P12</t>
  </si>
  <si>
    <t xml:space="preserve">Live typesafe SystemOne client, fail-closed</t>
  </si>
  <si>
    <t xml:space="preserve">One batched POST /v1/systemone answers N typed questions (noul/choice/score) in ~334ms; four budget caps; one retry then FAIL CLOSED to the sheet's mock gate with fallback_used:true; positive AND negative decisions disk-cached for zero-call bit-identical replay.</t>
  </si>
  <si>
    <t xml:space="preserve">buildState() developmental state, TYPESAFE_KEY (runtime only)</t>
  </si>
  <si>
    <t xml:space="preserve">typed answers + usage tokens, journaled with prompt HASH</t>
  </si>
  <si>
    <t xml:space="preserve">A live gate that cannot answer must never stall the loop and must never silently pretend — every row labeled live|cache|negcache|budget_mock|fail_closed_*</t>
  </si>
  <si>
    <t xml:space="preserve">Endpoint migration (.dev NXDOMAIN -&gt; .ai) receipted; 429/5xx -&gt; fail-closed not crash</t>
  </si>
  <si>
    <t xml:space="preserve">dba/jev_live.mjs:6-35</t>
  </si>
  <si>
    <t xml:space="preserve">quilt-dba-P13</t>
  </si>
  <si>
    <t xml:space="preserve">Live moth QRC stochasticity lane</t>
  </si>
  <si>
    <t xml:space="preserve">E-D3: probe FIRST (1 tiny job), inspect result shapes, then choose the engine that yields genuine per-bit variability (coin-toss aggregate vs graph-v1 distinct 8-bit outcome keys vs qpixl decode-noise floats); stream = concatenated job payloads in submission order; caps MAX_JOBS=10, MIN_BITS=4096.</t>
  </si>
  <si>
    <t xml:space="preserve">MOTH_KEY (runtime only), engine choice</t>
  </si>
  <si>
    <t xml:space="preserve">cached quantum randomness stream with provenance</t>
  </si>
  <si>
    <t xml:space="preserve">A batch is labeled live:true/mock:false ONLY if a real job completed</t>
  </si>
  <si>
    <t xml:space="preserve">Jobs with no extractable per-bit payload still contribute provenance + H/T stats, never fake bits</t>
  </si>
  <si>
    <t xml:space="preserve">dba/mothqrc.mjs:19-28,37-43</t>
  </si>
  <si>
    <t xml:space="preserve">quilt-dba-P14</t>
  </si>
  <si>
    <t xml:space="preserve">Receipt chains + byte-identical replay</t>
  </si>
  <si>
    <t xml:space="preserve">Each experiment appends receipt rows (21/28/17 rows for E-D1/2/3) sealed by fnv1a64 chains; E-D1 R5 replays from a mid-run checkpoint byte-identically (full_hash == resumed_hash 1de2f9c27e8d); the derived world seed is stored in bundles so replay never re-reads the vault mid-run.</t>
  </si>
  <si>
    <t xml:space="preserve">experiment event rows</t>
  </si>
  <si>
    <t xml:space="preserve">sealed, verifiable, replayable experiment records</t>
  </si>
  <si>
    <t xml:space="preserve">verifyChain over the re-read file must pass; resumed hash must equal full hash</t>
  </si>
  <si>
    <t xml:space="preserve">Any mid-run mutation breaks the chain or the replay equality</t>
  </si>
  <si>
    <t xml:space="preserve">experiments/outputs/e_d1_summary.json:36-43</t>
  </si>
  <si>
    <t xml:space="preserve">quilt-dba-P15</t>
  </si>
  <si>
    <t xml:space="preserve">Key hygiene doctrine</t>
  </si>
  <si>
    <t xml:space="preserve">Keys load AT RUNTIME only (env, then .env regex), held in closure, NEVER written to any file, log, receipt, journal or console; journal rows carry prompt HASHes; selfScan() re-checks written text against the live key.</t>
  </si>
  <si>
    <t xml:space="preserve">process.env / .env</t>
  </si>
  <si>
    <t xml:space="preserve">in-memory key handle only</t>
  </si>
  <si>
    <t xml:space="preserve">No key material may appear in any artifact — selfScan must find zero matches</t>
  </si>
  <si>
    <t xml:space="preserve">An unsanitized exception string once leaked a credential in cot-quilt — this doctrine is the fix</t>
  </si>
  <si>
    <t xml:space="preserve">dba/jev_live.mjs:20-25; dba/mothqrc.mjs:8-17</t>
  </si>
  <si>
    <t xml:space="preserve">quilt-raw-P01</t>
  </si>
  <si>
    <t xml:space="preserve">Q32 fixed-point integer substrate</t>
  </si>
  <si>
    <t xml:space="preserve">BigInt i64.32 fixed point: truncating mul/div ((i128&gt;&gt;32) wrap), exact integer floor isqrt, ONE/HALF/LOG2_3 matching seed-arch verbatim — the hot path has no floats.</t>
  </si>
  <si>
    <t xml:space="preserve">integers</t>
  </si>
  <si>
    <t xml:space="preserve">exact products, quotients, square roots</t>
  </si>
  <si>
    <t xml:space="preserve">mul must match the (i128&gt;&gt;32, wrap) reference; isqrt must be the exact floor</t>
  </si>
  <si>
    <t xml:space="preserve">Any rounding would destroy the bit-equal rewind guarantee</t>
  </si>
  <si>
    <t xml:space="preserve">q32.mjs:1-91; raw/loop.mjs:45-52</t>
  </si>
  <si>
    <t xml:space="preserve">quilt-raw-P02</t>
  </si>
  <si>
    <t xml:space="preserve">Substrate injection seam</t>
  </si>
  <si>
    <t xml:space="preserve">The loop is generic over substrate A ({add,sub,mul,div,sqrt,le,isZero,...}); Q32A is the hot path, F64A exists only so the R2 contrast runs the IDENTICAL code path and op order.</t>
  </si>
  <si>
    <t xml:space="preserve">substrate choice</t>
  </si>
  <si>
    <t xml:space="preserve">same loop semantics on either substrate</t>
  </si>
  <si>
    <t xml:space="preserve">R2 contrast must be SUBSTRATE-ONLY: identical code path, identical op order</t>
  </si>
  <si>
    <t xml:space="preserve">A divergent code path would make the float contrast vacuous</t>
  </si>
  <si>
    <t xml:space="preserve">raw/loop.mjs:40-69</t>
  </si>
  <si>
    <t xml:space="preserve">quilt-raw-P03</t>
  </si>
  <si>
    <t xml:space="preserve">The seven-op tick</t>
  </si>
  <si>
    <t xml:space="preserve">Per tick: measure curvature kappa (pure), stage commit |v|^2*dt and consume H(p)*dt, conservation check, gate crossing test, force v -= grad*dt, integrate p += v'*dt, record Evt={t,p,v,g,e}. Nothing else.</t>
  </si>
  <si>
    <t xml:space="preserve">state {p,v,g,e,t,vPrev}, cfg {dt,C,gate}</t>
  </si>
  <si>
    <t xml:space="preserve">new state + journal event + optional decision</t>
  </si>
  <si>
    <t xml:space="preserve">An eighth hidden op would break the seed's claim and the inverse algebra</t>
  </si>
  <si>
    <t xml:space="preserve">raw/loop.mjs:112-154</t>
  </si>
  <si>
    <t xml:space="preserve">quilt-raw-P04</t>
  </si>
  <si>
    <t xml:space="preserve">Transactional conservation halt</t>
  </si>
  <si>
    <t xml:space="preserve">commit/consume are staged and written only if the check passes; on breach: no write, no event, no clock advance — the ledger is bit-identical to pre-tick, so every tick stays reversible.</t>
  </si>
  <si>
    <t xml:space="preserve">staged g2,e2, C</t>
  </si>
  <si>
    <t xml:space="preserve">commit or halted:true with untouched ledger</t>
  </si>
  <si>
    <t xml:space="preserve">On breach the ledger must be bit-unchanged (mini-R1 sealed check)</t>
  </si>
  <si>
    <t xml:space="preserve">A plain abort after write would leave a dirty, irreversible ledger</t>
  </si>
  <si>
    <t xml:space="preserve">raw/loop.mjs:17-23,120-128</t>
  </si>
  <si>
    <t xml:space="preserve">quilt-raw-P05</t>
  </si>
  <si>
    <t xml:space="preserve">Measurements write nothing</t>
  </si>
  <si>
    <t xml:space="preserve">kappa (op 1) and the crossing decision d (op 5) are pure reads — they therefore need no inverse in rewind, keeping the inversion algebra to exactly four undos.</t>
  </si>
  <si>
    <t xml:space="preserve">v, vPrev, gate eval</t>
  </si>
  <si>
    <t xml:space="preserve">kappa, decision point</t>
  </si>
  <si>
    <t xml:space="preserve">A measurement that wrote state would need its own inverse and break the count</t>
  </si>
  <si>
    <t xml:space="preserve">raw/loop.mjs:25-31; raw/journal.mjs:28-31</t>
  </si>
  <si>
    <t xml:space="preserve">quilt-raw-P06</t>
  </si>
  <si>
    <t xml:space="preserve">Gates as signed-distance functionals</t>
  </si>
  <si>
    <t xml:space="preserve">Gate = {f:Vec-&gt;R, theta}: 'well' (harmonic, grad=(px,py)) and 'wall' (half-space, grad=(n)); crossing = sign flip of eval between p and p+v*dt; rising = grad.v &gt; 0 strictly; zero joins the positive side (receipted).</t>
  </si>
  <si>
    <t xml:space="preserve">position, velocity, gate spec</t>
  </si>
  <si>
    <t xml:space="preserve">crossing &amp;&amp; rising decision</t>
  </si>
  <si>
    <t xml:space="preserve">A decision requires BOTH sign flip AND rising slope</t>
  </si>
  <si>
    <t xml:space="preserve">Sign flip without rising would admit falling exits as decisions</t>
  </si>
  <si>
    <t xml:space="preserve">raw/loop.mjs:36-38,78-96,131-138</t>
  </si>
  <si>
    <t xml:space="preserve">quilt-raw-P07</t>
  </si>
  <si>
    <t xml:space="preserve">Exact rewind: four undos, zero search</t>
  </si>
  <si>
    <t xml:space="preserve">rewind(j) inverts each event from its recorded post-state: p0 = p - v*dt, v0 = v + grad(p0)*dt, g0 = g - |v0|^2*dt, e0 = e - H(p0)*dt; each recomputed product is bit-identical to its forward twin, so compose or restart folds are exact in Q32.</t>
  </si>
  <si>
    <t xml:space="preserve">journal of {t,p,v,g,e} events, cfg, substrate</t>
  </si>
  <si>
    <t xml:space="preserve">seed state + all per-event pre-states</t>
  </si>
  <si>
    <t xml:space="preserve">rewind(50 events) must bit-equal the origin seed (integer equality, no tolerance)</t>
  </si>
  <si>
    <t xml:space="preserve">Approximate inversion (least-squares, search) is forbidden by the charter</t>
  </si>
  <si>
    <t xml:space="preserve">raw/journal.mjs:8-38,51-78</t>
  </si>
  <si>
    <t xml:space="preserve">quilt-raw-P08</t>
  </si>
  <si>
    <t xml:space="preserve">Token gluing grammar</t>
  </si>
  <si>
    <t xml:space="preserve">Tok = {r: invariant id, d: boundary ids, k: kappa}; glue(t1,t2) unions boundaries iff they intersect; shell(S) = ids appearing in exactly one token boundary (odd-degree cancellation); close(S) iff shell is empty.</t>
  </si>
  <si>
    <t xml:space="preserve">token sets</t>
  </si>
  <si>
    <t xml:space="preserve">glued shapes, boundary, closedness verdict</t>
  </si>
  <si>
    <t xml:space="preserve">glueAll returns null on any disjoint pair — the shape must stay connected</t>
  </si>
  <si>
    <t xml:space="preserve">Gluing disconnected tokens would fake a closed shape</t>
  </si>
  <si>
    <t xml:space="preserve">raw/egg.mjs:29-59</t>
  </si>
  <si>
    <t xml:space="preserve">quilt-raw-P09</t>
  </si>
  <si>
    <t xml:space="preserve">Egg lifecycle</t>
  </si>
  <si>
    <t xml:space="preserve">egg(S) requires close(S); the nursery N starts as the interior and GROWS by adding each nursery-tick decision's 2^-4 lattice id; break fires when |N| &gt; theta, emitting the live Mode {p,v,kappa,gamma,eta} and marking the shell open.</t>
  </si>
  <si>
    <t xml:space="preserve">closed shape, nursery loop decisions</t>
  </si>
  <si>
    <t xml:space="preserve">Mode emission on break</t>
  </si>
  <si>
    <t xml:space="preserve">The shell boundary must stay empty up to the break (R3 asserts exactly this)</t>
  </si>
  <si>
    <t xml:space="preserve">Breaking an unclosed egg would emit from a non-interior</t>
  </si>
  <si>
    <t xml:space="preserve">raw/egg.mjs:1-26</t>
  </si>
  <si>
    <t xml:space="preserve">quilt-raw-P10</t>
  </si>
  <si>
    <t xml:space="preserve">Field render: deltas to topology</t>
  </si>
  <si>
    <t xml:space="preserve">emit(m) returns the Mode's five fields verbatim; render quantizes deltas to 2^-4 lattice cells, glues same-cell deltas into nodes, links nodes at Chebyshev distance &lt;= R=2, takes union-find components; canonically sorted, topoHash = sha256.</t>
  </si>
  <si>
    <t xml:space="preserve">emitted deltas</t>
  </si>
  <si>
    <t xml:space="preserve">{nodes, edges, components, topoHash}</t>
  </si>
  <si>
    <t xml:space="preserve">render is pure: same journal -&gt; same topology, hash-checked (R4)</t>
  </si>
  <si>
    <t xml:space="preserve">Hidden state in render would break replay determinism</t>
  </si>
  <si>
    <t xml:space="preserve">raw/field.mjs:8-57</t>
  </si>
  <si>
    <t xml:space="preserve">quilt-raw-P11</t>
  </si>
  <si>
    <t xml:space="preserve">Journal as lineage</t>
  </si>
  <si>
    <t xml:space="preserve">Evt = exactly {t, p, v, gamma, eta}; record appends; fork(j,t) = prefix slice = new lineage; the journal is the gapless state trajectory (contiguous t asserted).</t>
  </si>
  <si>
    <t xml:space="preserve">tick events</t>
  </si>
  <si>
    <t xml:space="preserve">lineage that can branch at any t</t>
  </si>
  <si>
    <t xml:space="preserve">Event t values must be contiguous 0..n-1 — a gap means an unrecorded write</t>
  </si>
  <si>
    <t xml:space="preserve">Extra fields or gaps would break the four-undo inversion contract</t>
  </si>
  <si>
    <t xml:space="preserve">raw/journal.mjs:3-6,45-46</t>
  </si>
  <si>
    <t xml:space="preserve">quilt-raw-P12</t>
  </si>
  <si>
    <t xml:space="preserve">Canonical bytes and hashes</t>
  </si>
  <si>
    <t xml:space="preserve">jline serializes events with Q32 as exact decimal integers and f64 via shortest-round-trip JSON; jhash = sha256 over newline-joined lines; topology likewise canonically hashed — R4/R5 replay checks compare bytes.</t>
  </si>
  <si>
    <t xml:space="preserve">journal / topology</t>
  </si>
  <si>
    <t xml:space="preserve">deterministic byte strings, sha256 digests</t>
  </si>
  <si>
    <t xml:space="preserve">Same state must always produce the same bytes (deterministic serialization)</t>
  </si>
  <si>
    <t xml:space="preserve">Locale or float-format drift would produce different hashes for identical state</t>
  </si>
  <si>
    <t xml:space="preserve">raw/journal.mjs:80-88; raw/field.mjs:55-56</t>
  </si>
  <si>
    <t xml:space="preserve">quilt-raw-P13</t>
  </si>
  <si>
    <t xml:space="preserve">Charter law: decision rules before the run</t>
  </si>
  <si>
    <t xml:space="preserve">The seed charter (first commit, never edited) demands paired arms on identical worlds, verdict rules receipted BEFORE the run, counterfactual measurement with the mechanism zeroed, loud honest negatives, and green smoke on every commit.</t>
  </si>
  <si>
    <t xml:space="preserve">charter text</t>
  </si>
  <si>
    <t xml:space="preserve">experiment discipline for every lane here</t>
  </si>
  <si>
    <t xml:space="preserve">No post-hoc verdicts — the rule must precede the numbers in the receipt chain</t>
  </si>
  <si>
    <t xml:space="preserve">Post-hoc verdicts would make every sealed result unfalsifiable</t>
  </si>
  <si>
    <t xml:space="preserve">README.md:1-6,172-182</t>
  </si>
  <si>
    <t xml:space="preserve">quilt-raw-P14</t>
  </si>
  <si>
    <t xml:space="preserve">Float64 contrast arm</t>
  </si>
  <si>
    <t xml:space="preserve">The R2 experiment runs the identical loop on f64 and receipts DRIFT-NONZERO: compose-mode seed deviation 7.48e-17, max 1.04e-16 — proving exactness is a property of the Q32 substrate, not a lucky code path.</t>
  </si>
  <si>
    <t xml:space="preserve">same journals on both substrates</t>
  </si>
  <si>
    <t xml:space="preserve">finite drift numbers in the sealed summary</t>
  </si>
  <si>
    <t xml:space="preserve">The contrast must show NONZERO float drift while Q32 stays bit-equal</t>
  </si>
  <si>
    <t xml:space="preserve">If float were also exact, the substrate claim would collapse</t>
  </si>
  <si>
    <t xml:space="preserve">raw/loop.mjs:54-56; experiments/outputs/e_r1_summary.json:11,22-28</t>
  </si>
  <si>
    <t xml:space="preserve">cot-quilt-P01</t>
  </si>
  <si>
    <t xml:space="preserve">Lens-sampled chain-of-thought</t>
  </si>
  <si>
    <t xml:space="preserve">3x deepseek-v4-pro samples of the same prompt under skeptic/engineer/teacher lenses; CoT + answer + usage + finish_reason captured per sample; diversity is enforced by persona because the seed parameter is accepted but ignored (probe-receipted).</t>
  </si>
  <si>
    <t xml:space="preserve">prompt, lens personas</t>
  </si>
  <si>
    <t xml:space="preserve">3 orthogonal CoTs</t>
  </si>
  <si>
    <t xml:space="preserve">Burn-guard: finish=length with empty content triggers a 3x-budget retry</t>
  </si>
  <si>
    <t xml:space="preserve">A reasoner that spends the whole budget on reasoning would yield an empty sample</t>
  </si>
  <si>
    <t xml:space="preserve">README.md:18-21,91-96</t>
  </si>
  <si>
    <t xml:space="preserve">cot-quilt-P02</t>
  </si>
  <si>
    <t xml:space="preserve">Split: typed step compression</t>
  </si>
  <si>
    <t xml:space="preserve">deepseek-flash compresses each CoT into &lt;=8 typed steps (PREMISE | INFERENCE | CHECK | DECISION | CONCLUSION) with a JSON repair loop.</t>
  </si>
  <si>
    <t xml:space="preserve">CoT markdown</t>
  </si>
  <si>
    <t xml:space="preserve">typed step lists</t>
  </si>
  <si>
    <t xml:space="preserve">Steps must parse to the typed schema — malformed JSON goes through repair, not silently onward</t>
  </si>
  <si>
    <t xml:space="preserve">Untyped dumps would make wiring and merging undefined</t>
  </si>
  <si>
    <t xml:space="preserve">README.md:22-23</t>
  </si>
  <si>
    <t xml:space="preserve">cot-quilt-P03</t>
  </si>
  <si>
    <t xml:space="preserve">Wire: load-bearing battery</t>
  </si>
  <si>
    <t xml:space="preserve">typesafe.ai (jev-latest) battery per sample: rubric 0-3 load-bearing score per step (expectation = sum p_i * i) plus a dependency choice per step — edges with probabilities.</t>
  </si>
  <si>
    <t xml:space="preserve">typed steps</t>
  </si>
  <si>
    <t xml:space="preserve">weighted dependency edges</t>
  </si>
  <si>
    <t xml:space="preserve">Unweighted edges would lose the strength signal that routing later needs</t>
  </si>
  <si>
    <t xml:space="preserve">README.md:24-26</t>
  </si>
  <si>
    <t xml:space="preserve">cot-quilt-P04</t>
  </si>
  <si>
    <t xml:space="preserve">Merge: cross-seed agreement as weight</t>
  </si>
  <si>
    <t xml:space="preserve">flash aligns steps across samples into clusters; occurrence count = cross-seed weight; kept-out divergences become ALTERNATE ROUTES — the convergence/divergence structure of the big model's idea becomes visible per-cell.</t>
  </si>
  <si>
    <t xml:space="preserve">3 wired step graphs</t>
  </si>
  <si>
    <t xml:space="preserve">clustered graph + divergent routes</t>
  </si>
  <si>
    <t xml:space="preserve">Averaging across seeds would erase exactly the divergence signal this stage exists to keep</t>
  </si>
  <si>
    <t xml:space="preserve">README.md:27-29,55-58</t>
  </si>
  <si>
    <t xml:space="preserve">cot-quilt-P05</t>
  </si>
  <si>
    <t xml:space="preserve">Judge and fold-back</t>
  </si>
  <si>
    <t xml:space="preserve">The larger model judges the merged graph against the original prompt (thoroughness 0-10 + up to 5 gaps); flash folds the gaps back in as origin='critique' cells -&gt; graph v2 — a quilt that grows its own missing cells.</t>
  </si>
  <si>
    <t xml:space="preserve">merged graph, original prompt</t>
  </si>
  <si>
    <t xml:space="preserve">judge score + gaps -&gt; critique cells (graph v2)</t>
  </si>
  <si>
    <t xml:space="preserve">The judge's gaps must become cells, not a footnote</t>
  </si>
  <si>
    <t xml:space="preserve">First run judged 6/10 and the five gaps became five critique cells — the finding is the payload</t>
  </si>
  <si>
    <t xml:space="preserve">README.md:30-32,50-58,68-70</t>
  </si>
  <si>
    <t xml:space="preserve">cot-quilt-P06</t>
  </si>
  <si>
    <t xml:space="preserve">Compose/test separation</t>
  </si>
  <si>
    <t xml:space="preserve">run-1 discipline: flash composes, typesafe and Hermes-3-405B judge; no model judges a node set it composed; flash cross-reviews typesafe-only nodes; the separation is receipted in judges/verdict.json.</t>
  </si>
  <si>
    <t xml:space="preserve">per-arm node sets</t>
  </si>
  <si>
    <t xml:space="preserve">separation receipt + independent verdicts</t>
  </si>
  <si>
    <t xml:space="preserve">A judge must never see only its own compositions</t>
  </si>
  <si>
    <t xml:space="preserve">Self-judging would inflate completeness (p_complete 0.71 came from an independent battery)</t>
  </si>
  <si>
    <t xml:space="preserve">scripts/run1_pipeline.mjs:14-19; runs/2026-10-01-run1/judges/verdict.json</t>
  </si>
  <si>
    <t xml:space="preserve">cot-quilt-P07</t>
  </si>
  <si>
    <t xml:space="preserve">Budget and retry policy</t>
  </si>
  <si>
    <t xml:space="preserve">run-1 budget &lt;= ~20 provider calls (planned 10, reserves for JSON repair); burn-guard retries at 3x budget (12k -&gt; 36k tokens); remediation path --redo-seed re-calls ONE contaminated seed and reuses every other cached stage verbatim.</t>
  </si>
  <si>
    <t xml:space="preserve">phase plans, provider responses</t>
  </si>
  <si>
    <t xml:space="preserve">bounded spend, receipted retries</t>
  </si>
  <si>
    <t xml:space="preserve">Total calls capped; every retry and remediation receipted, all-in spend declared ($0.098)</t>
  </si>
  <si>
    <t xml:space="preserve">Unbounded retries would silently burn credits</t>
  </si>
  <si>
    <t xml:space="preserve">scripts/run1_pipeline.mjs:23-27,43-47; README.md:133-136</t>
  </si>
  <si>
    <t xml:space="preserve">cot-quilt-P08</t>
  </si>
  <si>
    <t xml:space="preserve">Quantum seed discipline</t>
  </si>
  <si>
    <t xml:space="preserve">3x16 true quantum bits from mothquantum coin-toss per-bit jobs, parallel, fail-closed to os.urandom with per-bit flags; flagship run 48/48 true bits; entropy_bits_true &lt; 16 marks any fallback bit.</t>
  </si>
  <si>
    <t xml:space="preserve">mothquantum coin-toss jobs</t>
  </si>
  <si>
    <t xml:space="preserve">seeded samples with provenance flags</t>
  </si>
  <si>
    <t xml:space="preserve">Every bit must be labeled true-quantum or fail-closed — no unlabeled mixing</t>
  </si>
  <si>
    <t xml:space="preserve">Silent urandom fallback would fake quantum provenance</t>
  </si>
  <si>
    <t xml:space="preserve">README.md:14-16,100-101</t>
  </si>
  <si>
    <t xml:space="preserve">cot-quilt-P09</t>
  </si>
  <si>
    <t xml:space="preserve">Atomic receipted runs, resumable</t>
  </si>
  <si>
    <t xml:space="preserve">Every phase persists state/&lt;phase&gt;.json atomically (tmp + fsync + rename) and receipts each call into seeds/ledger.jsonl (append-only); interrupted runs resume per-sample; runs are keyed by content, not wall clock.</t>
  </si>
  <si>
    <t xml:space="preserve">pipeline phase outputs</t>
  </si>
  <si>
    <t xml:space="preserve">resumable run directories with sealed ledgers</t>
  </si>
  <si>
    <t xml:space="preserve">Receipt writes must be atomic — a mid-write kill once truncated a receipt and the lesson is receipted</t>
  </si>
  <si>
    <t xml:space="preserve">Partial writes would poison resume; the 63-a-r audit-then-remediate path exercised this for real</t>
  </si>
  <si>
    <t xml:space="preserve">scripts/run1_pipeline.mjs:24,55-64; README.md:35-39,97-99</t>
  </si>
  <si>
    <t xml:space="preserve">cot-quilt-P10</t>
  </si>
  <si>
    <t xml:space="preserve">Cell signature (drop into a quilt)</t>
  </si>
  <si>
    <t xml:space="preserve">The output contract: graph_v1 nodes -&gt; value cells; edges -&gt; links with p as dial weight; judge.gaps -&gt; question-cells; critique nodes -&gt; origin='critique' next-generation cells; typesafe load-scores -&gt; cell resolution policy.</t>
  </si>
  <si>
    <t xml:space="preserve">graph v1/v2, judge verdicts</t>
  </si>
  <si>
    <t xml:space="preserve">quilt-ready cell declarations</t>
  </si>
  <si>
    <t xml:space="preserve">Without a drop-in contract the graph stays a research artifact</t>
  </si>
  <si>
    <t xml:space="preserve">README.md:60-72</t>
  </si>
  <si>
    <t xml:space="preserve">cot-quilt-P11</t>
  </si>
  <si>
    <t xml:space="preserve">Keyscan ritual</t>
  </si>
  <si>
    <t xml:space="preserve">Pre-push credential scanner over HEAD tree + staged diff + worktree for gsk_/sk-/ghp_/github_pat_/apikey_/moth_/cfut_ patterns with length guards; matched values are NEVER printed; exit 0 only when clean or every hit matches a receipted-benign suppression.</t>
  </si>
  <si>
    <t xml:space="preserve">git tree state</t>
  </si>
  <si>
    <t xml:space="preserve">CLEAN / RECEIPTED-BENIGN / UNRECEIPTED verdict</t>
  </si>
  <si>
    <t xml:space="preserve">Exit 1 on any un-receipted credential-shaped hit — the scanner must never become the leak</t>
  </si>
  <si>
    <t xml:space="preserve">Verified live: verdict CLEAN with 2 receipted-benign hits, exit 0</t>
  </si>
  <si>
    <t xml:space="preserve">scripts/keyscan.mjs:8-29,38-46</t>
  </si>
  <si>
    <t xml:space="preserve">cot-quilt-P12</t>
  </si>
  <si>
    <t xml:space="preserve">Incident ledger (never-delete-data)</t>
  </si>
  <si>
    <t xml:space="preserve">The leaked deepseek credential stays verbatim in the sealed receipt; it is DEAD (rolled by principal); suppressions carry written justifications pointing at SECURITY-INCIDENT.md — suppression means receipted and inert, never ignore-the-future.</t>
  </si>
  <si>
    <t xml:space="preserve">SECURITY-INCIDENT.md, suppression table</t>
  </si>
  <si>
    <t xml:space="preserve">auditable incident memory</t>
  </si>
  <si>
    <t xml:space="preserve">A suppression requires a written justification + pointer to the incident record</t>
  </si>
  <si>
    <t xml:space="preserve">Deleting the evidence would hide the class of bug instead of the credential</t>
  </si>
  <si>
    <t xml:space="preserve">scripts/keyscan.mjs:50-59</t>
  </si>
  <si>
    <t xml:space="preserve">MicroMoth-quilt-P01</t>
  </si>
  <si>
    <t xml:space="preserve">MicroMoth statevector core</t>
  </si>
  <si>
    <t xml:space="preserve">The template micromoth.py (289 lines, stdlib only): QuantumCircuit with h/x/rx/rz/cx/crx/swap + decomposed y/z/ry, simulate() with counts/memory/probability_dictionary/statevector views; ports in Lua/C#/JS/Arduino.</t>
  </si>
  <si>
    <t xml:space="preserve">circuits</t>
  </si>
  <si>
    <t xml:space="preserve">measurement distributions and statevectors</t>
  </si>
  <si>
    <t xml:space="preserve">Upstream tree untouched — the fleet adds only receipts around it</t>
  </si>
  <si>
    <t xml:space="preserve">Editing the baseline would break every sha256 pin downstream</t>
  </si>
  <si>
    <t xml:space="preserve">README.md:7-9,39; micromoth.py:1-289</t>
  </si>
  <si>
    <t xml:space="preserve">MicroMoth-quilt-P02</t>
  </si>
  <si>
    <t xml:space="preserve">Circuit-as-ledger identity</t>
  </si>
  <si>
    <t xml:space="preserve">One QuantumCircuit.data list IS a cell ledger — the ordered gate list already has the shape of an append-only chain ending in measurement events.</t>
  </si>
  <si>
    <t xml:space="preserve">circuit append operations</t>
  </si>
  <si>
    <t xml:space="preserve">a hash-chained cell interpretation of the circuit</t>
  </si>
  <si>
    <t xml:space="preserve">Any out-of-band mutation of qc.data would desync ledger from circuit</t>
  </si>
  <si>
    <t xml:space="preserve">docs/CELL-MAPPING.md:36-42</t>
  </si>
  <si>
    <t xml:space="preserve">MicroMoth-quilt-P03</t>
  </si>
  <si>
    <t xml:space="preserve">BIND/LINK gate chaining</t>
  </si>
  <si>
    <t xml:space="preserve">Every gate application becomes a BIND cell {kind:'gate', args:{op, qubits, theta?}}; first gate's prev is genesis 0x0, later prevs are fnv1a-64 of the preceding cell; one explicit LINK per circuit boundary (simulator version, shots plan).</t>
  </si>
  <si>
    <t xml:space="preserve">gate appends</t>
  </si>
  <si>
    <t xml:space="preserve">tamper-evident gate chain</t>
  </si>
  <si>
    <t xml:space="preserve">Edit one gate and every downstream id moves — the tamper-evidence property</t>
  </si>
  <si>
    <t xml:space="preserve">Silent gate edits are caught by id re-derivation in the pins</t>
  </si>
  <si>
    <t xml:space="preserve">docs/CELL-MAPPING.md:40-50; tools/collapse_ledger.py:59-80</t>
  </si>
  <si>
    <t xml:space="preserve">MicroMoth-quilt-P04</t>
  </si>
  <si>
    <t xml:space="preserve">Primitives, not sugar</t>
  </si>
  <si>
    <t xml:space="preserve">y/z/ry decompose into rx/rz/x at append time (micromoth.py methods), so a circuit cell chain never contains them; the wrapper keeps a SUGAR set whose presence in qc.data would mean a hand-built, unbaseline chain.</t>
  </si>
  <si>
    <t xml:space="preserve">user gate calls</t>
  </si>
  <si>
    <t xml:space="preserve">canonical primitive-only chains</t>
  </si>
  <si>
    <t xml:space="preserve">Sugar ops in a chain are a refuse condition (sugar never ledgers)</t>
  </si>
  <si>
    <t xml:space="preserve">Non-canonical chains would be unverifiable against the baseline</t>
  </si>
  <si>
    <t xml:space="preserve">docs/CELL-MAPPING.md:19-22; tools/collapse_ledger.py:61-63</t>
  </si>
  <si>
    <t xml:space="preserve">MicroMoth-quilt-P05</t>
  </si>
  <si>
    <t xml:space="preserve">Collapse as EFFECT cells</t>
  </si>
  <si>
    <t xml:space="preserve">Each shot outcome is an EFFECT cell {kind:'collapse', shot:i, outcome:bitstring, seed}; noise_model entries are EFFECT parameters, not silent edits — measurement is an event, never a mutation of gate cells.</t>
  </si>
  <si>
    <t xml:space="preserve">seeded simulate() shots</t>
  </si>
  <si>
    <t xml:space="preserve">per-shot collapse receipts</t>
  </si>
  <si>
    <t xml:space="preserve">A collapse event must never alter the gate chain</t>
  </si>
  <si>
    <t xml:space="preserve">Conflating measurement with mutation would destroy replayability</t>
  </si>
  <si>
    <t xml:space="preserve">docs/CELL-MAPPING.md:51-55</t>
  </si>
  <si>
    <t xml:space="preserve">MicroMoth-quilt-P06</t>
  </si>
  <si>
    <t xml:space="preserve">VIEW cells over the same chain</t>
  </si>
  <si>
    <t xml:space="preserve">simulate(qc, shots, get=...) is literally a VIEW cell {args:{shots,get}}; counts, statevector and probabilities_dict are three views of the SAME circuit chain — 'we looked at counts' is itself receipted and re-derivable.</t>
  </si>
  <si>
    <t xml:space="preserve">circuit chain, view choice</t>
  </si>
  <si>
    <t xml:space="preserve">view receipts</t>
  </si>
  <si>
    <t xml:space="preserve">Unreceipted views would make analysis claims unreplayable</t>
  </si>
  <si>
    <t xml:space="preserve">docs/CELL-MAPPING.md:56-60</t>
  </si>
  <si>
    <t xml:space="preserve">MicroMoth-quilt-P07</t>
  </si>
  <si>
    <t xml:space="preserve">TICK: moments as layers</t>
  </si>
  <si>
    <t xml:space="preserve">The gate chain partitions into qubit-disjoint layers; a TICK cell closes each moment; depth = number of TICKs — coarse-grained time without touching gate order.</t>
  </si>
  <si>
    <t xml:space="preserve">gate chain</t>
  </si>
  <si>
    <t xml:space="preserve">moment boundaries, circuit depth</t>
  </si>
  <si>
    <t xml:space="preserve">Reordering gates within a moment would invalidate the depth claim</t>
  </si>
  <si>
    <t xml:space="preserve">docs/CELL-MAPPING.md:61-64</t>
  </si>
  <si>
    <t xml:space="preserve">MicroMoth-quilt-P08</t>
  </si>
  <si>
    <t xml:space="preserve">Seal policy for collapse runs</t>
  </si>
  <si>
    <t xml:space="preserve">simulate() takes NO seed argument and reads module-global random — the wrapper plumbs a seed through exactly that source (seed -&gt; simulate -&gt; restore), records the plumbing as the EFFECT parameter, and REFUSES to call an unseeded run sealed.</t>
  </si>
  <si>
    <t xml:space="preserve">seed, circuit, shots</t>
  </si>
  <si>
    <t xml:space="preserve">SEALED BIND/LINK/EFFECT chain</t>
  </si>
  <si>
    <t xml:space="preserve">No seed plumbed and recorded =&gt; no seal</t>
  </si>
  <si>
    <t xml:space="preserve">Sealing an unseeded run would produce a collapse receipt nobody can re-execute</t>
  </si>
  <si>
    <t xml:space="preserve">tools/collapse_ledger.py:2-22</t>
  </si>
  <si>
    <t xml:space="preserve">MicroMoth-quilt-P09</t>
  </si>
  <si>
    <t xml:space="preserve">Sibling-port gate</t>
  </si>
  <si>
    <t xml:space="preserve">quilt-qcells (wave 49) claimed quantum-ops-as-cells for the engine itself; this lane coordinates rather than duplicates — the roadmap marks the quilt-native plugin as gated on that sibling.</t>
  </si>
  <si>
    <t xml:space="preserve">sibling repo claims</t>
  </si>
  <si>
    <t xml:space="preserve">non-duplicative scope for this lane</t>
  </si>
  <si>
    <t xml:space="preserve">No quilt-native code lands in this repo until the sibling-port question is settled</t>
  </si>
  <si>
    <t xml:space="preserve">Duplicate implementations would fork the cell algebra</t>
  </si>
  <si>
    <t xml:space="preserve">README.md:77-79</t>
  </si>
  <si>
    <t xml:space="preserve">MicroMoth-quilt-P10</t>
  </si>
  <si>
    <t xml:space="preserve">Import manifest tool</t>
  </si>
  <si>
    <t xml:space="preserve">tools/import_manifest.py computes fnv1a-64 + sha256 per tracked file (267 files sealed), excludes itself by name and records the exclusion; receipts/import-baseline.json is regenerable and pinned.</t>
  </si>
  <si>
    <t xml:space="preserve">tracked files</t>
  </si>
  <si>
    <t xml:space="preserve">sealed digest manifest</t>
  </si>
  <si>
    <t xml:space="preserve">The tool must exclude itself by name — self-reference would make the manifest unverifiable</t>
  </si>
  <si>
    <t xml:space="preserve">Observed live: the manifest now lags the tree (exp012/exp013 receipts added post-seal) and the pin FAILS loudly</t>
  </si>
  <si>
    <t xml:space="preserve">README.md:47; tools/import_manifest.py:1-76</t>
  </si>
  <si>
    <t xml:space="preserve">MicroMoth-quilt-P11</t>
  </si>
  <si>
    <t xml:space="preserve">quantum-wow plugin with honest degrade</t>
  </si>
  <si>
    <t xml:space="preserve">quantumSeed/quantumCoin/quantumField run simulated (default, no key) via a JS MicroMoth port; BYO-key real mode calls comet-qrng-v1 and DEGRADES gracefully back to simulated on any failure, always returning {mode, degraded, error}; CORS absence and zero-extractable-bytes NIST outcomes are receipted as honest limits.</t>
  </si>
  <si>
    <t xml:space="preserve">visitor key (runtime only), nbits/field params</t>
  </si>
  <si>
    <t xml:space="preserve">seeds, coin flips, value fields + honesty metadata</t>
  </si>
  <si>
    <t xml:space="preserve">Every public method returns a usable result plus mode/degraded — the widget must say what actually happened</t>
  </si>
  <si>
    <t xml:space="preserve">A silent fallback would fake IBM-hardware randomness</t>
  </si>
  <si>
    <t xml:space="preserve">README.md:129-143</t>
  </si>
  <si>
    <t xml:space="preserve">MicroMoth-quilt-P12</t>
  </si>
  <si>
    <t xml:space="preserve">Pins that re-derive and re-execute</t>
  </si>
  <si>
    <t xml:space="preserve">test_collapse_ledger re-derives every cell id, names tamper locations, and LIVE re-executes sealed receipts; test_cell_mapping pins the doc's op table == simulate() dispatch; test_import_baseline re-runs the Bell check on every invocation — the import can never silently rot.</t>
  </si>
  <si>
    <t xml:space="preserve">sealed receipts, docs, simulator</t>
  </si>
  <si>
    <t xml:space="preserve">pass/fail with named tamper or drift</t>
  </si>
  <si>
    <t xml:space="preserve">Pins must fail loudly and name the fix (regenerate the manifest, never edit by hand)</t>
  </si>
  <si>
    <t xml:space="preserve">19/20 green today; the 1 failure is the manifest-drift pin doing exactly its job</t>
  </si>
  <si>
    <t xml:space="preserve">README.md:48-52; tests/test_collapse_ledger.py:1-60</t>
  </si>
  <si>
    <t xml:space="preserve">MicroMoth-quilt-P13</t>
  </si>
  <si>
    <t xml:space="preserve">Provenance honesty tags</t>
  </si>
  <si>
    <t xml:space="preserve">The declared upstream moth-quantum/MicroMoth returned 404 at import time, so the fork is self-governing: AUDIT.md's sealed baseline is the authority and every claim is tagged VERIFIED (run, dated) or RECORDED (read from repo metadata).</t>
  </si>
  <si>
    <t xml:space="preserve">import-time checks, repo metadata</t>
  </si>
  <si>
    <t xml:space="preserve">tagged audit record</t>
  </si>
  <si>
    <t xml:space="preserve">Nothing may be tagged VERIFIED without a run and a date</t>
  </si>
  <si>
    <t xml:space="preserve">Unverified claims would masquerade as checked facts</t>
  </si>
  <si>
    <t xml:space="preserve">README.md:54-57; AUDIT.md:1-200</t>
  </si>
  <si>
    <t xml:space="preserve">moth-research-P01</t>
  </si>
  <si>
    <t xml:space="preserve">Vendored primary-source snapshot</t>
  </si>
  <si>
    <t xml:space="preserve">The Moth Quantum docs are mirrored offline as self-contained HTML (intro, endpoints, engines): the stable, no-network ground truth about what quantum randomness and waveform services exist.</t>
  </si>
  <si>
    <t xml:space="preserve">upstream docs site</t>
  </si>
  <si>
    <t xml:space="preserve">offline exhibits readable without a key</t>
  </si>
  <si>
    <t xml:space="preserve">Link-rot or paywalled docs would leave the labs guessing at engine semantics</t>
  </si>
  <si>
    <t xml:space="preserve">intro.html:1-10; p_engines.html:1-5</t>
  </si>
  <si>
    <t xml:space="preserve">moth-research-P02</t>
  </si>
  <si>
    <t xml:space="preserve">Engine menu with economics</t>
  </si>
  <si>
    <t xml:space="preserve">Per-engine pages carry the decision fields: coin-toss-v1 v1.0.15 at 2 credits/run, qpixl-v1 at 1 credit, graph-v1 at 5 credits, labyrinth and entanglement-shader — version, publisher, updated-date, usage per run.</t>
  </si>
  <si>
    <t xml:space="preserve">engine documentation</t>
  </si>
  <si>
    <t xml:space="preserve">costed, versioned engine inventory</t>
  </si>
  <si>
    <t xml:space="preserve">An engine without version + usage metadata is not selectable</t>
  </si>
  <si>
    <t xml:space="preserve">Choosing by name alone ignores cost and behavioral version drift</t>
  </si>
  <si>
    <t xml:space="preserve">p_engines_coin-toss-v1.html:1-39; p_engines_qpixl-v1.html:1-53; p_engines_graph-v1.html:1-56</t>
  </si>
  <si>
    <t xml:space="preserve">moth-research-P03</t>
  </si>
  <si>
    <t xml:space="preserve">Endpoint contract</t>
  </si>
  <si>
    <t xml:space="preserve">Base URL https://api.mothquantum.com/api/v1, bearer auth on every call, machine-readable /openapi.json, 56 operations, identity via GET /me — the stable plumbing every client copies.</t>
  </si>
  <si>
    <t xml:space="preserve">HTTP</t>
  </si>
  <si>
    <t xml:space="preserve">uniform request/response envelope for all engines</t>
  </si>
  <si>
    <t xml:space="preserve">Bearer auth required on every call — no anonymous paths</t>
  </si>
  <si>
    <t xml:space="preserve">Quilt-dba receipted the .dev/.ai host confusion; the contract page is what arbitrates</t>
  </si>
  <si>
    <t xml:space="preserve">p_endpoints.html:1-21</t>
  </si>
  <si>
    <t xml:space="preserve">moth-research-P04</t>
  </si>
  <si>
    <t xml:space="preserve">Payload-shape taxonomy</t>
  </si>
  <si>
    <t xml:space="preserve">The engines differ in what randomness they yield: coin-toss returns per-job H/T aggregates; graph-v1 returns counts keyed by measured 8-bit outcome strings (each distinct key is a real sample); qpixl returns decode-noise floats — three shapes for three uses (stats, bits, entropy floats).</t>
  </si>
  <si>
    <t xml:space="preserve">engine result schemas</t>
  </si>
  <si>
    <t xml:space="preserve">shape -&gt; use-case mapping consumed by quilt-dba E-D3</t>
  </si>
  <si>
    <t xml:space="preserve">A payload with no extractable per-bit variability contributes provenance, never fake bits</t>
  </si>
  <si>
    <t xml:space="preserve">Misreading shapes would harvest aggregates as if they were per-shot bits</t>
  </si>
  <si>
    <t xml:space="preserve">p_engines_graph-v1.html:1-56; p_engines_qpixl-v1.html:1-53</t>
  </si>
  <si>
    <t xml:space="preserve">moth-research-P05</t>
  </si>
  <si>
    <t xml:space="preserve">Async job lifecycle</t>
  </si>
  <si>
    <t xml:space="preserve">Submit a job (POST /engines/{id}/process), poll status, fetch result — the quickstart loop every fleet client re-implements (moth_client, mothqrc, quantum-wow real mode).</t>
  </si>
  <si>
    <t xml:space="preserve">engine params, bearer key</t>
  </si>
  <si>
    <t xml:space="preserve">job results with job_id</t>
  </si>
  <si>
    <t xml:space="preserve">Fire-and-forget calls would lose job_id provenance</t>
  </si>
  <si>
    <t xml:space="preserve">intro.html:1-10</t>
  </si>
  <si>
    <t xml:space="preserve">moth-research-P06</t>
  </si>
  <si>
    <t xml:space="preserve">Probe-first selection policy</t>
  </si>
  <si>
    <t xml:space="preserve">The discipline the docs enable: probe with 1 tiny job, inspect result shapes, THEN choose the engine that yields genuine per-bit variability; hard caps on jobs (10) and target stream size (4096 bits) are set before any harvest.</t>
  </si>
  <si>
    <t xml:space="preserve">engine menu, probe job results</t>
  </si>
  <si>
    <t xml:space="preserve">a justified engine choice with caps</t>
  </si>
  <si>
    <t xml:space="preserve">No harvest before a probe and written caps — the decision precedes the spend</t>
  </si>
  <si>
    <t xml:space="preserve">Harvesting blind would waste credits on engines whose shape cannot serve the use</t>
  </si>
  <si>
    <t xml:space="preserve">p_engines.html:1-5; (consumer enforcement) quilt-dba/dba/mothqrc.mjs:19-28,41-42</t>
  </si>
  <si>
    <t xml:space="preserve">moth-research-P07</t>
  </si>
  <si>
    <t xml:space="preserve">Offline twin strategy</t>
  </si>
  <si>
    <t xml:space="preserve">The repo vendors the offline twins the labs develop against: MicroMoth (stdlib statevector simulator, seedable) and quantum-audio (QPAM/SQPAM/QSM schemes mapping audio onto circuits) — quantum semantics available with no key and no network.</t>
  </si>
  <si>
    <t xml:space="preserve">vendored upstream packages</t>
  </si>
  <si>
    <t xml:space="preserve">no-key local quantum ground truth</t>
  </si>
  <si>
    <t xml:space="preserve">Twins are labeled as twins — simulated semantics never claim hardware provenance</t>
  </si>
  <si>
    <t xml:space="preserve">Confusing twin output with hardware output would fake quantum results</t>
  </si>
  <si>
    <t xml:space="preserve">MicroMoth/README.md:89-97; quantum-audio/README.md:1-14</t>
  </si>
  <si>
    <t xml:space="preserve">moth-research-P08</t>
  </si>
  <si>
    <t xml:space="preserve">Exhibit interface</t>
  </si>
  <si>
    <t xml:space="preserve">Each engine page is a self-contained HTML exhibit with request/response schemas, try-it links, and example outputs — the artifact format that makes the menu legible to a zero-shot reader or agent.</t>
  </si>
  <si>
    <t xml:space="preserve">docs HTML</t>
  </si>
  <si>
    <t xml:space="preserve">per-engine readable contracts</t>
  </si>
  <si>
    <t xml:space="preserve">A prose summary alone would lose the exact schemas clients copy</t>
  </si>
  <si>
    <t xml:space="preserve">p_engines_coin-toss-v1.html:1-39; p_endpoints.html:1-21</t>
  </si>
  <si>
    <t xml:space="preserve">moth-research-P09</t>
  </si>
  <si>
    <t xml:space="preserve">Consumer lattice</t>
  </si>
  <si>
    <t xml:space="preserve">Three labs wire this menu: quilt-quant (coin-toss probe, qpixl waveform round-trip -&gt; entropy pool, graph-v1 tomography -&gt; veto), quilt-dba (vault over cached packets; E-D3 live QRC stream), MicroMoth-quilt (quantum-wow real mode via comet-qrng-v1 with honest degrade).</t>
  </si>
  <si>
    <t xml:space="preserve">documented engines</t>
  </si>
  <si>
    <t xml:space="preserve">applied entropy in trading, development and web randomness</t>
  </si>
  <si>
    <t xml:space="preserve">A lab bypassing the documented contract would fork the wire semantics</t>
  </si>
  <si>
    <t xml:space="preserve">p_engines_qpixl-v1.html:1-53; (consumers) quilt-quant/lab/README.md:121-139; quilt-dba/dba/mothqrc.mjs:1-28</t>
  </si>
  <si>
    <t xml:space="preserve">moth-research-P10</t>
  </si>
  <si>
    <t xml:space="preserve">Provenance chain discipline</t>
  </si>
  <si>
    <t xml:space="preserve">The docs' job_id/backend/timestamp fields are what make downstream receipts possible: every fetched batch lands in caches WITH provenance (job_id, engine, backend, timestamps) and WITHOUT key material; labels live:true/mock:false only for completed real jobs.</t>
  </si>
  <si>
    <t xml:space="preserve">job results</t>
  </si>
  <si>
    <t xml:space="preserve">replayable provenance records</t>
  </si>
  <si>
    <t xml:space="preserve">No key material may ever enter a cache or receipt; provenance fields are mandatory</t>
  </si>
  <si>
    <t xml:space="preserve">Dropping job_id would make a randomness claim unreplayable and unauditable</t>
  </si>
  <si>
    <t xml:space="preserve">p_endpoints.html:1-21; (consumer enforcement) quilt-dba/dba/mothqrc.mjs:8-17</t>
  </si>
  <si>
    <t xml:space="preserve">superinstance-site-P01</t>
  </si>
  <si>
    <t xml:space="preserve">single self-contained HTML substrate</t>
  </si>
  <si>
    <t xml:space="preserve">One file, zero dependencies, works offline — the entire showcase (engine, four demos, landscape, manifesto, og assets) ships as index.html.</t>
  </si>
  <si>
    <t xml:space="preserve">browser request for index.html</t>
  </si>
  <si>
    <t xml:space="preserve">a running page with four live sheets</t>
  </si>
  <si>
    <t xml:space="preserve">any external dependency would break the offline promise</t>
  </si>
  <si>
    <t xml:space="preserve">index.html (1452 lines, 467KB incl. inline base64 art); README.md 'One file, zero dependencies, works offline'</t>
  </si>
  <si>
    <t xml:space="preserve">superinstance-site-P02</t>
  </si>
  <si>
    <t xml:space="preserve">deep-tide token palette</t>
  </si>
  <si>
    <t xml:space="preserve">CSS custom properties --ink/--surface/--tide/--signal/--budget/--quantum define the entire visual substrate; accents are semantic, not stylistic.</t>
  </si>
  <si>
    <t xml:space="preserve">brand/README.md palette table</t>
  </si>
  <si>
    <t xml:space="preserve">every surface, flash, meter and glow on the page</t>
  </si>
  <si>
    <t xml:space="preserve">a color used decoratively breaks the meaning-binding rule</t>
  </si>
  <si>
    <t xml:space="preserve">index.html lines 12-19 (:root tokens); brand/README.md 'Palette — deep tide'</t>
  </si>
  <si>
    <t xml:space="preserve">superinstance-site-P03</t>
  </si>
  <si>
    <t xml:space="preserve">mini engine Sheet (value/formula/deps)</t>
  </si>
  <si>
    <t xml:space="preserve">A ~120-line reactive engine embedded in the page: cell(id,value), def(id,deps,fn) with stale recompute, sameV deep-equality to suppress no-op cascades, errors captured as {__error}.</t>
  </si>
  <si>
    <t xml:space="preserve">cell definitions from the four demo sheets</t>
  </si>
  <si>
    <t xml:space="preserve">cell values recomputed only when dependencies change</t>
  </si>
  <si>
    <t xml:space="preserve">formula re-eval is skipped when sameV(old,new) is true</t>
  </si>
  <si>
    <t xml:space="preserve">deep mutation aliasing silently skips recompute (the hold'em n=0 freeze bug)</t>
  </si>
  <si>
    <t xml:space="preserve">index.html lines 648-684 (class Sheet, _eval, _set, sameV); README 'same semantics as the full quilt runtime'</t>
  </si>
  <si>
    <t xml:space="preserve">superinstance-site-P04</t>
  </si>
  <si>
    <t xml:space="preserve">Bus + watch listeners</t>
  </si>
  <si>
    <t xml:space="preserve">A global Bus.emit fires on every value change; watch(target,fn) registers listeners; every mini-console in the page subscribes to real engine traffic.</t>
  </si>
  <si>
    <t xml:space="preserve">Bus emit events {sheet,id,kind,old,v}</t>
  </si>
  <si>
    <t xml:space="preserve">listener actions: tide gauge lights foam, moves played, reads spoken</t>
  </si>
  <si>
    <t xml:space="preserve">every console line must originate from a real Bus emit, not synthesized text</t>
  </si>
  <si>
    <t xml:space="preserve">theater consoles (scripted logs) would void the proof-by-running claim</t>
  </si>
  <si>
    <t xml:space="preserve">index.html lines 632-637 (Bus), 666 (watch), 683 (_set emits); demos intro 'real engine traffic, sampled, not theater'</t>
  </si>
  <si>
    <t xml:space="preserve">superinstance-site-P05</t>
  </si>
  <si>
    <t xml:space="preserve">cascade cycle-guard</t>
  </si>
  <si>
    <t xml:space="preserve">The Sheet carries depth and dead flags so a cascade cannot re-enter itself infinitely; listeners firing mid-cascade are the documented hazard it guards.</t>
  </si>
  <si>
    <t xml:space="preserve">any cascade of formula recomputes</t>
  </si>
  <si>
    <t xml:space="preserve">bounded, terminating cascades</t>
  </si>
  <si>
    <t xml:space="preserve">cascade depth bounded; dead sheet halts further _set propagation</t>
  </si>
  <si>
    <t xml:space="preserve">unbounded listener-&gt;set-&gt;listener loops (the class of bug that blew up the ocean)</t>
  </si>
  <si>
    <t xml:space="preserve">index.html line 651 (this.depth/this.dead), 684 (if (this.dead) return); README '~120-line reactive engine ... cascade cycle-guard'</t>
  </si>
  <si>
    <t xml:space="preserve">superinstance-site-P06</t>
  </si>
  <si>
    <t xml:space="preserve">deterministic PRNG replay</t>
  </si>
  <si>
    <t xml:space="preserve">Demos seed a deterministic PRNG 'so every reload replays honestly' — a reload is a re-run, not a new experiment.</t>
  </si>
  <si>
    <t xml:space="preserve">fixed seed</t>
  </si>
  <si>
    <t xml:space="preserve">identical demo behavior across reloads</t>
  </si>
  <si>
    <t xml:space="preserve">reload N and reload N+1 must produce identical cell histories</t>
  </si>
  <si>
    <t xml:space="preserve">Math.random() would make screenshots unreproducible and QA flaky</t>
  </si>
  <si>
    <t xml:space="preserve">index.html line 708 comment 'deterministic PRNG so every reload replays honestly'</t>
  </si>
  <si>
    <t xml:space="preserve">superinstance-site-P07</t>
  </si>
  <si>
    <t xml:space="preserve">visible weight drift (reversi loop)</t>
  </si>
  <si>
    <t xml:space="preserve">TIDE (positional weights) vs TERRA (mobility) self-play reversi where the loser's weight cells drift after every game — the learning loop is watchable, not claimed.</t>
  </si>
  <si>
    <t xml:space="preserve">finished game result</t>
  </si>
  <si>
    <t xml:space="preserve">mutated weight cells (visible drift)</t>
  </si>
  <si>
    <t xml:space="preserve">weights updated in a hidden store would reduce the demo to theater</t>
  </si>
  <si>
    <t xml:space="preserve">README.md demo table row 02; index.html demo-02 section</t>
  </si>
  <si>
    <t xml:space="preserve">superinstance-site-P08</t>
  </si>
  <si>
    <t xml:space="preserve">gated entries on a rationed quantum budget</t>
  </si>
  <si>
    <t xml:space="preserve">On the signal desk a signal is only a proposal; a confirmation cell is the gate; entries can require a draw from a rationed (mocked) quantum budget.</t>
  </si>
  <si>
    <t xml:space="preserve">EMA-cross tape signal (proposal)</t>
  </si>
  <si>
    <t xml:space="preserve">entry only on confirmation + budget draw</t>
  </si>
  <si>
    <t xml:space="preserve">entry admitted only after confirmation cell AND quantum budget draw</t>
  </si>
  <si>
    <t xml:space="preserve">auto-entering on raw signal would contradict 'perception costs something'</t>
  </si>
  <si>
    <t xml:space="preserve">README.md demo table row 04; index.html demo-04 section</t>
  </si>
  <si>
    <t xml:space="preserve">superinstance-site-P09</t>
  </si>
  <si>
    <t xml:space="preserve">honest-landscape policy</t>
  </si>
  <si>
    <t xml:space="preserve">The comparison table is scored only on the four axes SuperInstance is actually about, and the page must carry a plainly-worded panel of where the big players win today — a bounded claim, never universal superiority.</t>
  </si>
  <si>
    <t xml:space="preserve">competitor capabilities (Excel+Copilot, Sheets+Gemini, Airtable, Notion, Observable, Bloomberg, Hex/Deepnote)</t>
  </si>
  <si>
    <t xml:space="preserve">yes/part/no scores per axis + 'where the big players win' panel</t>
  </si>
  <si>
    <t xml:space="preserve">the honest panel must exist and name concrete domains where competitors win</t>
  </si>
  <si>
    <t xml:space="preserve">dropping the honest panel turns positioning into marketing</t>
  </si>
  <si>
    <t xml:space="preserve">index.html lines 507-541 (landscape table + .honest div)</t>
  </si>
  <si>
    <t xml:space="preserve">superinstance-site-P10</t>
  </si>
  <si>
    <t xml:space="preserve">accent discipline</t>
  </si>
  <si>
    <t xml:space="preserve">Aqua leads; coral/amber/violet appear only where their meaning applies (events, economy, quantum); one glow per element, never rainbow — motion rules included ('nothing bounces; the tide moves').</t>
  </si>
  <si>
    <t xml:space="preserve">any new UI element</t>
  </si>
  <si>
    <t xml:space="preserve">colored element whose color encodes its meaning</t>
  </si>
  <si>
    <t xml:space="preserve">decorative color erodes the semantic palette</t>
  </si>
  <si>
    <t xml:space="preserve">brand/README.md 'Accent discipline' + Motion section</t>
  </si>
  <si>
    <t xml:space="preserve">superinstance-site-P11</t>
  </si>
  <si>
    <t xml:space="preserve">offline brand constraint</t>
  </si>
  <si>
    <t xml:space="preserve">The wordmark is intentionally a system font stack — the brand must render inside one self-contained HTML file with zero font downloads; the constraint is stated as a feature.</t>
  </si>
  <si>
    <t xml:space="preserve">brand kit (mark.svg, logo.svg, favicon.svg)</t>
  </si>
  <si>
    <t xml:space="preserve">identity that renders identically offline</t>
  </si>
  <si>
    <t xml:space="preserve">a webfont dependency would silently break the self-containment law</t>
  </si>
  <si>
    <t xml:space="preserve">brand/README.md 'The wordmark is intentionally set in a system font stack'</t>
  </si>
  <si>
    <t xml:space="preserve">superinstance-site-P12</t>
  </si>
  <si>
    <t xml:space="preserve">four live demos as the argument</t>
  </si>
  <si>
    <t xml:space="preserve">Ocean-as-a-Sheet (336 value cells, wave formula, tide gauge), self-playing Reversi, Hold'em reading the players, and the signal desk — each demo is one claim tested in a realm.</t>
  </si>
  <si>
    <t xml:space="preserve">the mini engine</t>
  </si>
  <si>
    <t xml:space="preserve">four running sheets a stranger can watch</t>
  </si>
  <si>
    <t xml:space="preserve">any demo degrading to a canned animation</t>
  </si>
  <si>
    <t xml:space="preserve">README.md demo table; index.html demos section (DEMO 01-04)</t>
  </si>
  <si>
    <t xml:space="preserve">superinstance-site-P13</t>
  </si>
  <si>
    <t xml:space="preserve">landscape table + positioning 2x2 SVG</t>
  </si>
  <si>
    <t xml:space="preserve">The honest map is rendered twice: a scored HTML table and a standalone 2x2 SVG (static-to-living x human-driven-to-agentic) plotting all players with SuperInstance alone in the living+agentic quadrant.</t>
  </si>
  <si>
    <t xml:space="preserve">the scored competitor axes</t>
  </si>
  <si>
    <t xml:space="preserve">the visual map (mirrored in images/positioning-map.png)</t>
  </si>
  <si>
    <t xml:space="preserve">a map without the table's scores would be an unargued picture</t>
  </si>
  <si>
    <t xml:space="preserve">index.html lines 515-574 (svg viewBox 780x430, role=img aria-label 'Positioning map')</t>
  </si>
  <si>
    <t xml:space="preserve">superinstance-site-P14</t>
  </si>
  <si>
    <t xml:space="preserve">the watching cell brand kit</t>
  </si>
  <si>
    <t xml:space="preserve">mark.svg = a quilt of four cells, three quiet, one lit and pulsing — 'the smallest honest diagram of the whole idea'; logo lockup + 64px favicon + og-card.</t>
  </si>
  <si>
    <t xml:space="preserve">brand concept 'cells that watch back'</t>
  </si>
  <si>
    <t xml:space="preserve">mark.svg, logo.svg, favicon.svg, og-card.png</t>
  </si>
  <si>
    <t xml:space="preserve">a logo the demos could not explain would be decoration</t>
  </si>
  <si>
    <t xml:space="preserve">brand/README.md; brand/mark.svg; brand/logo.svg; brand/favicon.svg; images/og-card.png</t>
  </si>
  <si>
    <t xml:space="preserve">superinstance-site-P15</t>
  </si>
  <si>
    <t xml:space="preserve">playtest findings-to-fixes ledger</t>
  </si>
  <si>
    <t xml:space="preserve">The README publishes the four QA rounds as a finding-&gt;fix table: wrong two-step wave scheme (-7.2e+34), pre-listener evaluation stall, copy-then-mutate aliasing fix, flex-shrink squash, render-gain revival.</t>
  </si>
  <si>
    <t xml:space="preserve">headless Chromium QA harness runs</t>
  </si>
  <si>
    <t xml:space="preserve">public ledger of caught bugs and their fixes</t>
  </si>
  <si>
    <t xml:space="preserve">every fix in the table must be traceable to a stated finding</t>
  </si>
  <si>
    <t xml:space="preserve">publishing fixes without findings launders the process</t>
  </si>
  <si>
    <t xml:space="preserve">README.md 'Playtest log — what iterating actually caught' (v1/v2/v3 table)</t>
  </si>
  <si>
    <t xml:space="preserve">superinstance-site-P16</t>
  </si>
  <si>
    <t xml:space="preserve">automated screenshot evidence</t>
  </si>
  <si>
    <t xml:space="preserve">demo-*.png and qa-*.png are real screenshots captured by the automated playtest, not mockups — the image directory is a receipt archive.</t>
  </si>
  <si>
    <t xml:space="preserve">QA harness per-demo screenshots</t>
  </si>
  <si>
    <t xml:space="preserve">images/demo-ocean.png, demo-reversi.png, demo-holdem.png, qa-*.png</t>
  </si>
  <si>
    <t xml:space="preserve">screenshots must come from real QA runs of the shipped file</t>
  </si>
  <si>
    <t xml:space="preserve">hand-made 'screenshots' would fake the demos</t>
  </si>
  <si>
    <t xml:space="preserve">README.md images section; images/ (demo-ocean.png, qa-manifesto.png, qa-ecosystem.png, ...)</t>
  </si>
  <si>
    <t xml:space="preserve">superinstance-site-P17</t>
  </si>
  <si>
    <t xml:space="preserve">live stats receipts</t>
  </si>
  <si>
    <t xml:space="preserve">Hero stats book the engagement's provenance: 6 living projects, 187 green checks, 12 engine patches, 36/36 upstream tests kept — mirrored in the footer with a date.</t>
  </si>
  <si>
    <t xml:space="preserve">fleet CI/patch history</t>
  </si>
  <si>
    <t xml:space="preserve">on-page counters (hero + footer '187 checks green · 12 patches · 2026-09-25')</t>
  </si>
  <si>
    <t xml:space="preserve">stale counters would misstate the account's state</t>
  </si>
  <si>
    <t xml:space="preserve">index.html hero .stats block + footer line 622</t>
  </si>
  <si>
    <t xml:space="preserve">superinstance-site-P18</t>
  </si>
  <si>
    <t xml:space="preserve">zero-error console bar</t>
  </si>
  <si>
    <t xml:space="preserve">Final QA state is 'zero console/page errors' with the hero canvas verified animating, reversi self-playing to 63 discs, hold'em reads climbing street by street — the acceptance receipt of the whole page.</t>
  </si>
  <si>
    <t xml:space="preserve">full QA run</t>
  </si>
  <si>
    <t xml:space="preserve">a page whose console is clean</t>
  </si>
  <si>
    <t xml:space="preserve">zero console/page errors across the whole playthrough</t>
  </si>
  <si>
    <t xml:space="preserve">any uncaught page error voids proof-by-running</t>
  </si>
  <si>
    <t xml:space="preserve">README.md 'Final state: zero console/page errors...'</t>
  </si>
  <si>
    <t xml:space="preserve">superinstance-site-P19</t>
  </si>
  <si>
    <t xml:space="preserve">mechanical-vs-strategic split</t>
  </si>
  <si>
    <t xml:space="preserve">Pot odds cost 0 tokens (a formula); opponent reads (shape.opp looseness/aggression/deception) are observations spoken by a listener, with a focus slider that fades your own cards into the environment.</t>
  </si>
  <si>
    <t xml:space="preserve">game state (community cards, pot)</t>
  </si>
  <si>
    <t xml:space="preserve">free mechanical odds + metered observational reads</t>
  </si>
  <si>
    <t xml:space="preserve">mechanical computation must remain free (0 tokens)</t>
  </si>
  <si>
    <t xml:space="preserve">charging tokens for arithmetic would collapse the economy metaphor</t>
  </si>
  <si>
    <t xml:space="preserve">README.md demo table row 03 ('the odds are mechanical; the players are the game')</t>
  </si>
  <si>
    <t xml:space="preserve">quilt-upstream-P01</t>
  </si>
  <si>
    <t xml:space="preserve">cell graph as universal substrate</t>
  </si>
  <si>
    <t xml:space="preserve">A cell is a node in a directed graph receiving inputs, computing any function, exposing its value — exactly the message-passing pattern under modern neural architectures, generalized: v_i = f_i({v_j}) where the neuron's f is one special case.</t>
  </si>
  <si>
    <t xml:space="preserve">any computable node function</t>
  </si>
  <si>
    <t xml:space="preserve">a cell graph</t>
  </si>
  <si>
    <t xml:space="preserve">fixing f to weighted-sum would collapse the generalization</t>
  </si>
  <si>
    <t xml:space="preserve">NEURAL-CELLS-RESEARCH.md 'The core insight' (Quilt cell vs neuron equations)</t>
  </si>
  <si>
    <t xml:space="preserve">quilt-upstream-P02</t>
  </si>
  <si>
    <t xml:space="preserve">the 8 primitives as per-cell ops</t>
  </si>
  <si>
    <t xml:space="preserve">Z_in (input), Z_out (output), JEPA (prediction), DoubleEntry (balanced state updates), Vibe (phenomenological mood), GC (pruning), Murmur (noise injection), Graph (self-model) — the discrete computational core each cell runs.</t>
  </si>
  <si>
    <t xml:space="preserve">cell events</t>
  </si>
  <si>
    <t xml:space="preserve">cell state transitions</t>
  </si>
  <si>
    <t xml:space="preserve">a primitive dropped breaks the CNS completeness claim</t>
  </si>
  <si>
    <t xml:space="preserve">essays/paper-53-two-nervous.md section 2 (numbered primitive list)</t>
  </si>
  <si>
    <t xml:space="preserve">quilt-upstream-P03</t>
  </si>
  <si>
    <t xml:space="preserve">conservation law gamma + eta = budget</t>
  </si>
  <si>
    <t xml:space="preserve">The total of gamma (ghost weight of past decisions) and eta (breath of current ambition) must equal the budget — 'Not balance, not equilibrium. Conservation.' The budget is time, attention, the fuel of the ship.</t>
  </si>
  <si>
    <t xml:space="preserve">every decision spending gamma or eta</t>
  </si>
  <si>
    <t xml:space="preserve">an invariant total</t>
  </si>
  <si>
    <t xml:space="preserve">gamma + eta = budget at all times; no more, no less</t>
  </si>
  <si>
    <t xml:space="preserve">unrecorded spending breaks the keystone law</t>
  </si>
  <si>
    <t xml:space="preserve">essays/essay-26-the-living-spreadsheet.md lines 15 and 55 ('gamma + eta = budget')</t>
  </si>
  <si>
    <t xml:space="preserve">quilt-upstream-P04</t>
  </si>
  <si>
    <t xml:space="preserve">watching as the primitive act</t>
  </si>
  <si>
    <t xml:space="preserve">The watch is not a device but the act of looking: witnessing, not judging — 'I am not judging. I am witnessing... The watch is the act of being there'; the observer is part of the system it watches.</t>
  </si>
  <si>
    <t xml:space="preserve">system state</t>
  </si>
  <si>
    <t xml:space="preserve">witnessed, participatory observation</t>
  </si>
  <si>
    <t xml:space="preserve">detached metrics dashboards replacing the gaze</t>
  </si>
  <si>
    <t xml:space="preserve">essays/essay-26-the-living-spreadsheet.md lines 31, 57 ('the watch is the act of looking')</t>
  </si>
  <si>
    <t xml:space="preserve">quilt-upstream-P05</t>
  </si>
  <si>
    <t xml:space="preserve">ship as .qzt vessel</t>
  </si>
  <si>
    <t xml:space="preserve">`quilt ship mood.qzt` bundles cells + manifest into one small file — a vessel you can put in a pocket and pass to the next hand.</t>
  </si>
  <si>
    <t xml:space="preserve">a sheet's cells + manifest</t>
  </si>
  <si>
    <t xml:space="preserve">one .qzt artifact</t>
  </si>
  <si>
    <t xml:space="preserve">deployment pipelines replacing a copyable artifact</t>
  </si>
  <si>
    <t xml:space="preserve">essays/essay-110-first-voyage.md line 25 ('She typed quilt ship mood.qzt... It was a vessel')</t>
  </si>
  <si>
    <t xml:space="preserve">quilt-upstream-P06</t>
  </si>
  <si>
    <t xml:space="preserve">zero-dependency onboarding claim</t>
  </si>
  <si>
    <t xml:space="preserve">2:22 PM pip install -&gt; 2:41 first cascade ('the cells were talking to each other... no server, no API, no build, no pipeline') -&gt; 3:15 shipped — the essay argues onboarding cost is itself the design object.</t>
  </si>
  <si>
    <t xml:space="preserve">quilt init/add/watch/ship CLI</t>
  </si>
  <si>
    <t xml:space="preserve">a working multi-cell system in &lt;1 hour</t>
  </si>
  <si>
    <t xml:space="preserve">framework-style onboarding (React components, state management) the essay's heroine abandons</t>
  </si>
  <si>
    <t xml:space="preserve">essays/essay-110-first-voyage.md lines 11-29 (timestamped build narrative)</t>
  </si>
  <si>
    <t xml:space="preserve">quilt-upstream-P07</t>
  </si>
  <si>
    <t xml:space="preserve">stage-wise belief outgrowth</t>
  </si>
  <si>
    <t xml:space="preserve">Each version arc is framed as a belief the cell outgrows: 'It believed it was a grid' (v0.1), 'It believed it was an API... But truth is not a port' (v0.2), onward to impossibility proofs as 'salt — not to break, but to preserve' (v0.7).</t>
  </si>
  <si>
    <t xml:space="preserve">version history</t>
  </si>
  <si>
    <t xml:space="preserve">a narrative where limitations are load-bearing</t>
  </si>
  <si>
    <t xml:space="preserve">changelog-as-list instead of changelog-as-meaning</t>
  </si>
  <si>
    <t xml:space="preserve">essays/essay-204-the-evolution-of-quilt.md v0.1-v0.9 section headers (lines 17-253)</t>
  </si>
  <si>
    <t xml:space="preserve">quilt-upstream-P08</t>
  </si>
  <si>
    <t xml:space="preserve">murmur-agent + five gossip strategies</t>
  </si>
  <si>
    <t xml:space="preserve">A guest in the bilge 'thinks all night. Not with purpose, not with gain' — mapping the ocean via five moves named as primitives: Explore=Z_in, Connect=Graph, Contradict=JEPA, Synthesize=DoubleEntry, Question=Vibe; the Knowledge Tensor is 'the pattern of murmurs'.</t>
  </si>
  <si>
    <t xml:space="preserve">idle cycles</t>
  </si>
  <si>
    <t xml:space="preserve">an ocean map grown from purposeless thought</t>
  </si>
  <si>
    <t xml:space="preserve">instrumenting idle thought until it becomes purposeful labor</t>
  </si>
  <si>
    <t xml:space="preserve">essays/essay-205-murmur-is-the-cells-gossip.md lines 9-23</t>
  </si>
  <si>
    <t xml:space="preserve">quilt-upstream-P09</t>
  </si>
  <si>
    <t xml:space="preserve">law survives reimplementation</t>
  </si>
  <si>
    <t xml:space="preserve">The spreadsheet, the Quilt and the noether-guard hold the same law in different forms: 'They are not copies. They are versions' — two sails from the same bolt of canvas; the guard 'does not detect error. It forbids it.'</t>
  </si>
  <si>
    <t xml:space="preserve">one conservation law</t>
  </si>
  <si>
    <t xml:space="preserve">many substrates, one invariant</t>
  </si>
  <si>
    <t xml:space="preserve">the integrity of the idea must hold in every implementation</t>
  </si>
  <si>
    <t xml:space="preserve">reimplementations drifting from the conserved law</t>
  </si>
  <si>
    <t xml:space="preserve">essays/essay-207-two-implementations.md lines 18-32</t>
  </si>
  <si>
    <t xml:space="preserve">quilt-upstream-P10</t>
  </si>
  <si>
    <t xml:space="preserve">polyglot opcode union</t>
  </si>
  <si>
    <t xml:space="preserve">8 combinator opcodes (K,S,I,B,C,Y + composition, fixed-point) + 8 register opcodes (INC,DEC,RIGHT,LEFT,PRINT,READ,LOOP,END) + 6 array opcodes (IOTA,RHO,ADD,MUL,RED,SCAN,OUT,TAKE,DROP,TRANS) = 22 opcodes, 'All mapping to the 8 Quilt primitives. All substrate-agnostic.'</t>
  </si>
  <si>
    <t xml:space="preserve">Unlambda / Brainfuck / APL programs</t>
  </si>
  <si>
    <t xml:space="preserve">cell graphs over one opcode union</t>
  </si>
  <si>
    <t xml:space="preserve">gamma + eta = 1 conserved in all three embeddings</t>
  </si>
  <si>
    <t xml:space="preserve">a language whose embedding breaks the conservation accounting</t>
  </si>
  <si>
    <t xml:space="preserve">essays/essay-208-the-polyglot.md lines 19-28</t>
  </si>
  <si>
    <t xml:space="preserve">quilt-upstream-P11</t>
  </si>
  <si>
    <t xml:space="preserve">Hodge decomposition of the learning signal</t>
  </si>
  <si>
    <t xml:space="preserve">Model the signal as a 1-form omega on the cell graph; discrete exterior derivative d and codifferential delta yield omega = d(alpha) + delta(beta) + h — exploration, instruction, priors — with squared-norm ratios summing to 1 and a dominant-mode diagnosis; implemented via CellGraph/Signal1Form/HodgeDecomposer in qspace.py.</t>
  </si>
  <si>
    <t xml:space="preserve">edge-weight deltas of the cell graph</t>
  </si>
  <si>
    <t xml:space="preserve">three orthogonal components + three ratios</t>
  </si>
  <si>
    <t xml:space="preserve">R_exp + R_expt + R_prior = 1 by construction</t>
  </si>
  <si>
    <t xml:space="preserve">correlated (non-orthogonal) components double-counting a learning source</t>
  </si>
  <si>
    <t xml:space="preserve">essays/paper-50-hodge-agents.md sections 4-6, 9</t>
  </si>
  <si>
    <t xml:space="preserve">quilt-upstream-P12</t>
  </si>
  <si>
    <t xml:space="preserve">Fifth Impossibility (observer effect)</t>
  </si>
  <si>
    <t xml:space="preserve">Measuring the signal omega injects an instructional term delta(beta)_obs into the next period's signal (omega' = omega + delta(beta)_obs), so the 'true' pre-observation ratios are unknowable — formalizing that perfectly non-invasive telemetry of a learning agent is impossible.</t>
  </si>
  <si>
    <t xml:space="preserve">any observation of a learning agent</t>
  </si>
  <si>
    <t xml:space="preserve">contaminated post-observation ratios</t>
  </si>
  <si>
    <t xml:space="preserve">pre-observation ratios are declared unknowable in principle</t>
  </si>
  <si>
    <t xml:space="preserve">claiming clean telemetry of a learning system</t>
  </si>
  <si>
    <t xml:space="preserve">essays/paper-50-hodge-agents.md section 8 (proof sketch steps 1-4)</t>
  </si>
  <si>
    <t xml:space="preserve">quilt-upstream-P13</t>
  </si>
  <si>
    <t xml:space="preserve">notebook-to-quilt isomorphism</t>
  </si>
  <si>
    <t xml:space="preserve">Page=cell (bounded context with local state), page graph=cell graph, four cognitive ops map to Z_in (capture/register), Z_out (synthesize/express), JEPA (cross-page prediction, analogy validation), DoubleEntry (non-contradiction forcing reconciliation); each cognitive event is a kernel tick.</t>
  </si>
  <si>
    <t xml:space="preserve">notebook pages + links</t>
  </si>
  <si>
    <t xml:space="preserve">a Quilt instance with an emergent Q-space agent</t>
  </si>
  <si>
    <t xml:space="preserve">treating the mapping as loose analogy (the paper insists: 'not a metaphor but a specification')</t>
  </si>
  <si>
    <t xml:space="preserve">essays/paper-51-a2a-notebook.md sections 1-2</t>
  </si>
  <si>
    <t xml:space="preserve">quilt-upstream-P14</t>
  </si>
  <si>
    <t xml:space="preserve">API iterator pattern family</t>
  </si>
  <si>
    <t xml:space="preserve">Loop { call(API); integrate; assess } closed under iteration; recursive form spawns sub-iterators (hierarchical planning); Council runs 6 parallel lenses; Bootstrap embeds the loop in a goal-directed FSM; Autoexpand spawns iterators for work discovered mid-integration.</t>
  </si>
  <si>
    <t xml:space="preserve">external computational resources (LLMs, DBs, services)</t>
  </si>
  <si>
    <t xml:space="preserve">iteratively refined agent state</t>
  </si>
  <si>
    <t xml:space="preserve">unclosed loops (assess skipped) turning growth into drift</t>
  </si>
  <si>
    <t xml:space="preserve">essays/paper-52-api-iterator.md sections 1-5</t>
  </si>
  <si>
    <t xml:space="preserve">quilt-upstream-P15</t>
  </si>
  <si>
    <t xml:space="preserve">CNS + Fascia split</t>
  </si>
  <si>
    <t xml:space="preserve">CNS: discrete, per-cell, 8 primitives. Fascia: continuous, inter-cell gradients — FasciaJEPA (cells subscribe to each other's predictions, a predictive field) and FasciaDoubleEntry (continuous gamma trades, a resource economy); voltmeter/walkie-talkie analogy separates the modalities.</t>
  </si>
  <si>
    <t xml:space="preserve">cell states + gradients</t>
  </si>
  <si>
    <t xml:space="preserve">precision (CNS) + ambient coordination (Fascia)</t>
  </si>
  <si>
    <t xml:space="preserve">conflating discrete messaging with gradient sensing in one channel</t>
  </si>
  <si>
    <t xml:space="preserve">essays/paper-53-two-nervous.md sections 3-4</t>
  </si>
  <si>
    <t xml:space="preserve">quilt-upstream-P16</t>
  </si>
  <si>
    <t xml:space="preserve">specialization impossibility</t>
  </si>
  <si>
    <t xml:space="preserve">Proof by contradiction: a unified system prioritizing discrete signals becomes brittle at scale; prioritizing continuous signals loses precision; therefore no single nervous system achieves precision + scalability + adaptability — the duality resolves it by specialization.</t>
  </si>
  <si>
    <t xml:space="preserve">assumed unified system U</t>
  </si>
  <si>
    <t xml:space="preserve">necessity of the two-system architecture</t>
  </si>
  <si>
    <t xml:space="preserve">no unified system claim may assert all three properties</t>
  </si>
  <si>
    <t xml:space="preserve">architecture claims ignoring the trade-off</t>
  </si>
  <si>
    <t xml:space="preserve">essays/paper-53-two-nervous.md section 5 (5th impossibility proof)</t>
  </si>
  <si>
    <t xml:space="preserve">quilt-upstream-P17</t>
  </si>
  <si>
    <t xml:space="preserve">release v0.2.0 receipts</t>
  </si>
  <si>
    <t xml:space="preserve">2026-08-18: engine hardening (sensor `default` field seeds values at load; defineCell reads YAML value/default), 15 tests passing, 10 working examples (weather-monitor, chat-router, ab-test-router with FNV-1a split, iot-dashboard, ...).</t>
  </si>
  <si>
    <t xml:space="preserve">engine + examples</t>
  </si>
  <si>
    <t xml:space="preserve">production-grade release notes</t>
  </si>
  <si>
    <t xml:space="preserve">examples that demo but do not run</t>
  </si>
  <si>
    <t xml:space="preserve">RELEASE-v0.2.0.md ('9 core engine tests + 6 new example tests = 15 tests pass', 10 examples listed)</t>
  </si>
  <si>
    <t xml:space="preserve">quilt-upstream-P18</t>
  </si>
  <si>
    <t xml:space="preserve">federation release v0.5.0</t>
  </si>
  <si>
    <t xml:space="preserve">8 SDK primitives; new resolveCell(uri, transport), subscribeCell(uri, transport, cb), CellRouter; parseCellRef for quilt://[instance]/[sheet]#[cell] incl. wildcard and fleet-wide forms; Local/Http transports; detectTier() for esp32/jetson/codespace/cloudflare/server/browser; 33 new tests (61 total); 3-tier Codespaces template.</t>
  </si>
  <si>
    <t xml:space="preserve">multi-instance quilts</t>
  </si>
  <si>
    <t xml:space="preserve">cross-instance addressing + subscription</t>
  </si>
  <si>
    <t xml:space="preserve">the siloed runtime ('the end of the siloed runtime' is the release subtitle)</t>
  </si>
  <si>
    <t xml:space="preserve">RELEASE-v0.5.0.md (primitive table, URI scheme examples, test counts)</t>
  </si>
  <si>
    <t xml:space="preserve">quilt-upstream-P19</t>
  </si>
  <si>
    <t xml:space="preserve">federated store + MQTT release v0.6.0</t>
  </si>
  <si>
    <t xml:space="preserve">FederatedArtifactStore: content-addressed, hot(memory &lt;1ms, 64MB LRU) -&gt; warm(filesystem &lt;10ms) -&gt; cold(R2 ~100ms), best-effort R2, hotStats(); MqttCellTransport: MQTT 5.0, retained messages replay on reconnect, dead instances detected &lt;1s; 79/79 tests (18 new), SHIPPED 2026-08-19.</t>
  </si>
  <si>
    <t xml:space="preserve">artifacts + cell events</t>
  </si>
  <si>
    <t xml:space="preserve">cross-tier cache hierarchy + IoT pub/sub</t>
  </si>
  <si>
    <t xml:space="preserve">R2 failures are best-effort — puts must not break when cold tier is down</t>
  </si>
  <si>
    <t xml:space="preserve">a cold-tier outage corrupting local persistence</t>
  </si>
  <si>
    <t xml:space="preserve">RELEASE-v0.6.0.md (tier table, 'failures are best-effort (don't break puts)', test count)</t>
  </si>
  <si>
    <t xml:space="preserve">quilt-upstream-P20</t>
  </si>
  <si>
    <t xml:space="preserve">coordination protocol with Lucineer</t>
  </si>
  <si>
    <t xml:space="preserve">'The watch proposes. The Lucineer routes. The Captain coordinates. The work moves.' — 5 bets (room-as-cell Tap, elephant d_mu as Vibe, crab-traps wire contract, schema-driven RAG corpus, fleet-radio ambient voice), 6 handoffs (H1-H6 incl. schema-as-source-of-truth, kernel, lifecycle orchestrator), hermes bridge answered with a Python companion, and lane discipline: the watch never pushes code to lanes that are not its own.</t>
  </si>
  <si>
    <t xml:space="preserve">the two fleets' positions</t>
  </si>
  <si>
    <t xml:space="preserve">a division of labor with named bridges</t>
  </si>
  <si>
    <t xml:space="preserve">no code pushed to another lane's repos; issues with [SYNERGY] label are the channel</t>
  </si>
  <si>
    <t xml:space="preserve">lane violations eroding the federation</t>
  </si>
  <si>
    <t xml:space="preserve">COORDINATION_WITH_LUCINEER.md (opening protocol paragraph, bets 1-5, H1-H6, 'The watch doesn't push code to quilt repos that aren't its lane')</t>
  </si>
  <si>
    <t xml:space="preserve">quilt-upstream-P21</t>
  </si>
  <si>
    <t xml:space="preserve">unfiled SYNERGY issue stubs</t>
  </si>
  <si>
    <t xml:space="preserve">synergy-issues/SYNERGY-1.md through SYNERGY-8.md are eight byte-identical stubs — 'to be posted to https://github.com/SuperInstance/quilt/issues', body deferring entirely to COORDINATION_WITH_LUCINEER.md ('bet / handoff #6') — the coordination scaffold exists in the repo but was never actually filed on the tracker.</t>
  </si>
  <si>
    <t xml:space="preserve">coordination letter</t>
  </si>
  <si>
    <t xml:space="preserve">8 stub issue files</t>
  </si>
  <si>
    <t xml:space="preserve">a SYNERGY issue only counts once actually posted to the tracker</t>
  </si>
  <si>
    <t xml:space="preserve">coordination that lives only in a letter — no public thread, no notification, no tracking (the current state of all 8)</t>
  </si>
  <si>
    <t xml:space="preserve">synergy-issues/SYNERGY-1.md ... SYNERGY-8.md (all identical, verified by this lane reading all 8 heads)</t>
  </si>
  <si>
    <t xml:space="preserve">quilt-upstream-P22</t>
  </si>
  <si>
    <t xml:space="preserve">ten-architecture mapping table</t>
  </si>
  <si>
    <t xml:space="preserve">One table maps MPNN, Hopfield, Transformers/attention, MoE, Capsules, Mamba/SSM, Diffusion, Neural ODEs, Predictive coding, and Neural CAs onto quilt analogues (listener=boolean attention head, router=MoE gate, sheet tick=reverse diffusion step, etc.) — the meta-architecture claim made checkable row by row.</t>
  </si>
  <si>
    <t xml:space="preserve">10 published architectures</t>
  </si>
  <si>
    <t xml:space="preserve">per-architecture quilt analogue</t>
  </si>
  <si>
    <t xml:space="preserve">hand-wavy 'it's all message passing' without the row-by-row mapping</t>
  </si>
  <si>
    <t xml:space="preserve">NEURAL-CELLS-RESEARCH.md '10 architectures mapped to Quilt' + synthesis table</t>
  </si>
  <si>
    <t xml:space="preserve">quilt-upstream-P23</t>
  </si>
  <si>
    <t xml:space="preserve">filename/content drift in the essay corpus</t>
  </si>
  <si>
    <t xml:space="preserve">The file essays/essay-26-the-living-spreadsheet.md opens 'Essay 206: The Spreadsheet That Thinks' — filenames and essay numbers disagree (also: paper-50/51/52/53 live under essays/ while a parallel papers/ tree holds other papers, some duplicated). Citations by filename can misattribute content.</t>
  </si>
  <si>
    <t xml:space="preserve">essay corpus</t>
  </si>
  <si>
    <t xml:space="preserve">attribution hazard, receipted</t>
  </si>
  <si>
    <t xml:space="preserve">citing 'essay-26' and receiving essay 206; duplicated paper trees drifting apart</t>
  </si>
  <si>
    <t xml:space="preserve">essays/essay-26-the-living-spreadsheet.md line 1 vs its own filename; essays/paper-5x-*.md coexisting with papers/paper-5x-*.md (both trees listed in the repo)</t>
  </si>
  <si>
    <t xml:space="preserve">quilt-upstream-P24</t>
  </si>
  <si>
    <t xml:space="preserve">nine cell-kind modules</t>
  </si>
  <si>
    <t xml:space="preserve">packages/core/src/cells/ holds exactly nine modules — value, sensor, formula, listener, api, program, router, io, ai — the TypeScript core's type taxonomy of what a cell can be; the same nine appear as the cell kinds in the fleet's decomposition sheets.</t>
  </si>
  <si>
    <t xml:space="preserve">cell semantics</t>
  </si>
  <si>
    <t xml:space="preserve">the nine-kind type system</t>
  </si>
  <si>
    <t xml:space="preserve">ad-hoc cell kinds outside the nine breaking portability</t>
  </si>
  <si>
    <t xml:space="preserve">packages/core/src/cells/ directory listing (value.ts, sensor.ts, formula.ts, listener.ts, api.ts, program.ts, router.ts, io.ts, ai.ts)</t>
  </si>
  <si>
    <t xml:space="preserve">breakthrough-prospector-P01</t>
  </si>
  <si>
    <t xml:space="preserve">scout log substrate</t>
  </si>
  <si>
    <t xml:space="preserve">Raw claims as blocks: Source (URL/owner+repo+path/commit), Claim (one falsifiable sentence), Evidence (what the source shows), Honesty tag, Abstraction fit, Fleet resonance, Suggested experiment.</t>
  </si>
  <si>
    <t xml:space="preserve">papers, repos, trending systems</t>
  </si>
  <si>
    <t xml:space="preserve">dated claim blocks in sources/scout-log.md</t>
  </si>
  <si>
    <t xml:space="preserve">no URL/commit, no claim</t>
  </si>
  <si>
    <t xml:space="preserve">uncited claims entering the registry</t>
  </si>
  <si>
    <t xml:space="preserve">breakthrough-prospector/protocols/scout-protocol.md claim format + rule 1; sources/scout-log.md</t>
  </si>
  <si>
    <t xml:space="preserve">breakthrough-prospector-P02</t>
  </si>
  <si>
    <t xml:space="preserve">abstraction card substrate</t>
  </si>
  <si>
    <t xml:space="preserve">Numbered cards (C01 frozen-driver ceiling ~2.5 meta-levels, C02 harness-over-weights, ...) each with statement, cited instances, what it explains, our-fleet instance, the gap, the experiment hook; cards are living documents updated by receipts.</t>
  </si>
  <si>
    <t xml:space="preserve">deduped claims</t>
  </si>
  <si>
    <t xml:space="preserve">abstractions/registry.md cards</t>
  </si>
  <si>
    <t xml:space="preserve">a card without a cited instance is speculation (the repo's own one-rule)</t>
  </si>
  <si>
    <t xml:space="preserve">breakthrough-prospector/abstractions/registry.md header + C01/C02 as read</t>
  </si>
  <si>
    <t xml:space="preserve">breakthrough-prospector-P03</t>
  </si>
  <si>
    <t xml:space="preserve">distill and dedup move</t>
  </si>
  <si>
    <t xml:space="preserve">Before filing, check whether an existing card covers the mechanism; add the instance to the card instead of opening a parallel claim — memory grows by accretion, not duplication.</t>
  </si>
  <si>
    <t xml:space="preserve">new claim</t>
  </si>
  <si>
    <t xml:space="preserve">new card OR instance appended to existing card</t>
  </si>
  <si>
    <t xml:space="preserve">parallel claims for one mechanism fragmenting the registry</t>
  </si>
  <si>
    <t xml:space="preserve">breakthrough-prospector/protocols/scout-protocol.md rule 4 'Feed cards, don't duplicate them'</t>
  </si>
  <si>
    <t xml:space="preserve">breakthrough-prospector-P04</t>
  </si>
  <si>
    <t xml:space="preserve">scout discipline rules</t>
  </si>
  <si>
    <t xml:space="preserve">Cite or it didn't happen; tag the honesty; one claim per block; smallest-build bias (name the cheapest settling experiment or the claim isn't ready); report by minute 25 even if incomplete; scouts never push — output lands via PR.</t>
  </si>
  <si>
    <t xml:space="preserve">scout session</t>
  </si>
  <si>
    <t xml:space="preserve">protocol-compliant claim blocks</t>
  </si>
  <si>
    <t xml:space="preserve">scout reports what it verified by minute 25 even if incomplete</t>
  </si>
  <si>
    <t xml:space="preserve">endless audits that never report, or scouts committing to fleet repos</t>
  </si>
  <si>
    <t xml:space="preserve">breakthrough-prospector/protocols/scout-protocol.md rules 1-7</t>
  </si>
  <si>
    <t xml:space="preserve">breakthrough-prospector-P05</t>
  </si>
  <si>
    <t xml:space="preserve">B = V x F x S scorer</t>
  </si>
  <si>
    <t xml:space="preserve">tools/score.py computes the table from a single embedded source-of-truth and enforces scoring.md's anti-gaming rules as printed warnings; scores live in the registry's experiment tables and hand-edited scores must carry a why line.</t>
  </si>
  <si>
    <t xml:space="preserve">EXPERIMENTS table (id, name, cards, V, F, S, verified_citations, needs_casey, metric_measured, why)</t>
  </si>
  <si>
    <t xml:space="preserve">ranked table with B, gate column, warnings</t>
  </si>
  <si>
    <t xml:space="preserve">hand-edited scores without a why line</t>
  </si>
  <si>
    <t xml:space="preserve">breakthrough-prospector/tools/score.py header + this lane's live run output</t>
  </si>
  <si>
    <t xml:space="preserve">breakthrough-prospector-P06</t>
  </si>
  <si>
    <t xml:space="preserve">candidate run gate</t>
  </si>
  <si>
    <t xml:space="preserve">Run an experiment only when B &gt;= 40 AND F &gt;= 3 AND the claim carries &gt;= 1 VERIFIED citation; B &gt;= 60 enters the snowball queue top; 40-59 queued; &lt; 40 stays in the scout log.</t>
  </si>
  <si>
    <t xml:space="preserve">scored experiment</t>
  </si>
  <si>
    <t xml:space="preserve">RUN / wait / log triage</t>
  </si>
  <si>
    <t xml:space="preserve">B &gt;= 40 AND F &gt;= 3 AND &gt;= 1 VERIFIED citation</t>
  </si>
  <si>
    <t xml:space="preserve">running hearsay-backed or low-feasibility experiments</t>
  </si>
  <si>
    <t xml:space="preserve">breakthrough-prospector/README.md pipeline step 3; scoring.md 'Gate' section</t>
  </si>
  <si>
    <t xml:space="preserve">breakthrough-prospector-P07</t>
  </si>
  <si>
    <t xml:space="preserve">anti-gaming caps</t>
  </si>
  <si>
    <t xml:space="preserve">S capped at 3 when the only instances are one lab or one arxiv week (clustering is not consensus); V discounted x0.5 when the metric has no current measurement; F capped at 2 if Casey must do something first; every cap emitted as a visible warning.</t>
  </si>
  <si>
    <t xml:space="preserve">raw V/F/S inputs</t>
  </si>
  <si>
    <t xml:space="preserve">capped scores + warnings</t>
  </si>
  <si>
    <t xml:space="preserve">caps applied deterministically by the scorer, visible in output</t>
  </si>
  <si>
    <t xml:space="preserve">hype-inflated S or unmeasurable V passing the gate</t>
  </si>
  <si>
    <t xml:space="preserve">breakthrough-prospector/scoring.md 'Anti-gaming notes'; live run warnings '! F cap: external dependency (Casey)', '! V x0.5: target metric has no current measurement'</t>
  </si>
  <si>
    <t xml:space="preserve">breakthrough-prospector-P08</t>
  </si>
  <si>
    <t xml:space="preserve">sealed pre-registration</t>
  </si>
  <si>
    <t xml:space="preserve">registration.json + registration.md sealed pre-draw at a named commit (e6-slice-2: commit e3f003f, pushed BEFORE any external call) with the runner of record fixed by sha256; the interpretation is written before the run.</t>
  </si>
  <si>
    <t xml:space="preserve">experiment hypothesis + metric</t>
  </si>
  <si>
    <t xml:space="preserve">sealed registration + runner hash</t>
  </si>
  <si>
    <t xml:space="preserve">registration sealed and pushed before any external call / draw</t>
  </si>
  <si>
    <t xml:space="preserve">post-hoc interpretation laundering (the repo's named sin)</t>
  </si>
  <si>
    <t xml:space="preserve">breakthrough-prospector/experiments/e6-slice-2/verdict.md header; registration.json + registration.md present in both slice dirs</t>
  </si>
  <si>
    <t xml:space="preserve">breakthrough-prospector-P09</t>
  </si>
  <si>
    <t xml:space="preserve">receipted quantum arm draw</t>
  </si>
  <si>
    <t xml:space="preserve">Arms are drawn from a rationed quantum-random channel with a seal receipt (qrng-seal.json, qrng-seal-raw.json), an attempts ledger (qrng-attempts.jsonl), and a channel-health probe receipt documenting a RECOVERED channel — the draw itself is evidence.</t>
  </si>
  <si>
    <t xml:space="preserve">sealed registration</t>
  </si>
  <si>
    <t xml:space="preserve">drawn arm order + channel receipts</t>
  </si>
  <si>
    <t xml:space="preserve">draw attempts and channel health are receipted per attempt</t>
  </si>
  <si>
    <t xml:space="preserve">unlogged draw retries enabling cherry-picking</t>
  </si>
  <si>
    <t xml:space="preserve">breakthrough-prospector/experiments/e6-slice-2/receipts/qrng-seal.json, qrng-attempts.jsonl, channel-health-probe-w63.json + provenance.md</t>
  </si>
  <si>
    <t xml:space="preserve">breakthrough-prospector-P10</t>
  </si>
  <si>
    <t xml:space="preserve">deterministic decide + replay check</t>
  </si>
  <si>
    <t xml:space="preserve">decide.json is produced by a deterministic local replay and decide --check reproduces it byte-identically modulo timestamp, with determinism.json recording TRUE — the measurement can be re-run, not just trusted.</t>
  </si>
  <si>
    <t xml:space="preserve">receipt bundle</t>
  </si>
  <si>
    <t xml:space="preserve">decide.json + decide-check.json + determinism.json</t>
  </si>
  <si>
    <t xml:space="preserve">decide --check must be byte-identical modulo timestamp</t>
  </si>
  <si>
    <t xml:space="preserve">non-reproducible verdicts (unauditable decisions)</t>
  </si>
  <si>
    <t xml:space="preserve">breakthrough-prospector/experiments/e6-slice-2/receipts/{decide.json, decide-check.json, determinism.json}; verdict.md 'decide --check byte-identical modulo timestamp, determinism receipt TRUE'</t>
  </si>
  <si>
    <t xml:space="preserve">breakthrough-prospector-P11</t>
  </si>
  <si>
    <t xml:space="preserve">per-slice receipt bundle</t>
  </si>
  <si>
    <t xml:space="preserve">Each experiment directory carries baseline.json, decide.json, decide-check.json, determinism.json, witness.json, usage.jsonl, health-gate.json, qrng receipts, registration.md/json, arms.json, verdict.md — the run is its own archive.</t>
  </si>
  <si>
    <t xml:space="preserve">run artifacts</t>
  </si>
  <si>
    <t xml:space="preserve">complete receipt directory</t>
  </si>
  <si>
    <t xml:space="preserve">verdicts without the receipts that produced them</t>
  </si>
  <si>
    <t xml:space="preserve">breakthrough-prospector/experiments/e6-slice-1/receipts/ and e6-slice-2/receipts/ (14 files listed in both)</t>
  </si>
  <si>
    <t xml:space="preserve">breakthrough-prospector-P12</t>
  </si>
  <si>
    <t xml:space="preserve">verdict of record with sealed threshold</t>
  </si>
  <si>
    <t xml:space="preserve">The verdict states FAIL with verbatim numbers: baseline M=7.07407..., best arm A5 +1.0471% vs gate M &gt;= 7.42777... (= 1.05 x baseline) AND totalF &gt;= 15; every measured arm kept totalF exactly 15; no threshold surgery; 5 frozen-unmeasured arms stay frozen and never peeked.</t>
  </si>
  <si>
    <t xml:space="preserve">measured arms vs sealed gate</t>
  </si>
  <si>
    <t xml:space="preserve">verdict.md FAIL/FAIL/FAIL-of-record</t>
  </si>
  <si>
    <t xml:space="preserve">threshold fixed at registration; measured-but-failed arms published verbatim</t>
  </si>
  <si>
    <t xml:space="preserve">moving the threshold after seeing the numbers</t>
  </si>
  <si>
    <t xml:space="preserve">breakthrough-prospector/experiments/e6-slice-2/verdict.md 'Verdict of record' + arm table</t>
  </si>
  <si>
    <t xml:space="preserve">breakthrough-prospector-P13</t>
  </si>
  <si>
    <t xml:space="preserve">honest-negative filing rule</t>
  </si>
  <si>
    <t xml:space="preserve">An honest negative is filed in the owning repo's FINDINGS.md and said so — doctrine inherited: honest negatives, collapse receipts, 3-root replication, never overclaim the ladder.</t>
  </si>
  <si>
    <t xml:space="preserve">FAIL verdict</t>
  </si>
  <si>
    <t xml:space="preserve">public finding, not a quiet burial</t>
  </si>
  <si>
    <t xml:space="preserve">deleting failed runs (the anti-pattern this rule exists to kill)</t>
  </si>
  <si>
    <t xml:space="preserve">breakthrough-prospector/README.md doctrine line + step 6 'Honest negative? File it...'; verdict.md 'An honest negative is a finding, not a gain.'</t>
  </si>
  <si>
    <t xml:space="preserve">breakthrough-prospector-P14</t>
  </si>
  <si>
    <t xml:space="preserve">ladder-claim rule</t>
  </si>
  <si>
    <t xml:space="preserve">State the RSI ladder position honestly (card C12): most systems are L0; L1 requires a held-out gate saying so — a ladder claim without a held-out gate is marketing.</t>
  </si>
  <si>
    <t xml:space="preserve">system self-assessment</t>
  </si>
  <si>
    <t xml:space="preserve">stated ladder position</t>
  </si>
  <si>
    <t xml:space="preserve">an L1 claim requires a held-out gate receipt</t>
  </si>
  <si>
    <t xml:space="preserve">RSI-position inflation</t>
  </si>
  <si>
    <t xml:space="preserve">breakthrough-prospector/README.md pipeline step 7; abstractions/registry.md C12 reference; DELTAS.md D5 'Ladder positions in README'</t>
  </si>
  <si>
    <t xml:space="preserve">breakthrough-prospector-P15</t>
  </si>
  <si>
    <t xml:space="preserve">DELTAS per-repo delta ledger</t>
  </si>
  <si>
    <t xml:space="preserve">Account-wide self-improvement deltas applying registry mechanisms (Weco/AIDE^2 + frontier abstractions) to each repo: mechanism -&gt; concrete change -&gt; owning repo -&gt; first build size, prioritized P0/P1/P2.</t>
  </si>
  <si>
    <t xml:space="preserve">registry cards + fleet repo map</t>
  </si>
  <si>
    <t xml:space="preserve">DELTAS.md (e.g. D1 bug-injection self-play [P0] 'one evening, stdlib only')</t>
  </si>
  <si>
    <t xml:space="preserve">deltas with no owning repo or no named first build</t>
  </si>
  <si>
    <t xml:space="preserve">breakthrough-prospector/DELTAS.md header + MicroMoth-quilt section (D1-D5 as read)</t>
  </si>
  <si>
    <t xml:space="preserve">breakthrough-prospector-P16</t>
  </si>
  <si>
    <t xml:space="preserve">snowball queue handoff</t>
  </si>
  <si>
    <t xml:space="preserve">queue/snowball.md defines how scored claims enter the account snowball queue — the interface between prospecting and the lanes that will run the work.</t>
  </si>
  <si>
    <t xml:space="preserve">gate-passing scores</t>
  </si>
  <si>
    <t xml:space="preserve">queued, prioritized experiments for lanes</t>
  </si>
  <si>
    <t xml:space="preserve">scored claims rotting in the registry with no route to a lane</t>
  </si>
  <si>
    <t xml:space="preserve">breakthrough-prospector/queue/snowball.md; README.md 'What lives where' table</t>
  </si>
  <si>
    <t xml:space="preserve">craftmind-study-P01</t>
  </si>
  <si>
    <t xml:space="preserve">heritable DNA blueprints</t>
  </si>
  <si>
    <t xml:space="preserve">Each bot is a JSON DNA: species traits, personality, taskWeights (0.7-1.0 for preferred tasks), learningRate (0.1-0.3), mutationRate (0.1-0.25), per-task confidence map, generation and parentIds — eight species with distinct behavioral biases.</t>
  </si>
  <si>
    <t xml:space="preserve">species definition + overrides</t>
  </si>
  <si>
    <t xml:space="preserve">a mutable, breedable blueprint</t>
  </si>
  <si>
    <t xml:space="preserve">hardcoded behavior paths (explicitly rejected: 'no hardcoded paths')</t>
  </si>
  <si>
    <t xml:space="preserve">craftmind-study/craftmind-ranch/src/dna.js createDNA() as read; data/default-dna/ (mooshroom, duck, trufflehog, falcon, shepherd, goat, rooster, stallion)</t>
  </si>
  <si>
    <t xml:space="preserve">craftmind-study-P02</t>
  </si>
  <si>
    <t xml:space="preserve">breed + mutate on success</t>
  </si>
  <si>
    <t xml:space="preserve">Successful bots breed, combining DNA with small random mutations; fitness is awarded only for verified completed work; populations compete for the jobs you provide.</t>
  </si>
  <si>
    <t xml:space="preserve">fitness-verified population</t>
  </si>
  <si>
    <t xml:space="preserve">next-generation DNA mix</t>
  </si>
  <si>
    <t xml:space="preserve">selection on proxy signals (attempts, appearances) instead of completions</t>
  </si>
  <si>
    <t xml:space="preserve">craftmind-study/craftmind-ranch/src/evolution-engine.js (module present, parse-checked); README 'Successful bots breed, combining their DNA with small random mutations'</t>
  </si>
  <si>
    <t xml:space="preserve">craftmind-study-P03</t>
  </si>
  <si>
    <t xml:space="preserve">no-proxy-reward rule</t>
  </si>
  <si>
    <t xml:space="preserve">Fitness is awarded solely for completing a task, not for attempting it — the study's sharpest policy: the only currency is verified work.</t>
  </si>
  <si>
    <t xml:space="preserve">task submission</t>
  </si>
  <si>
    <t xml:space="preserve">fitness credit only on verified completion</t>
  </si>
  <si>
    <t xml:space="preserve">attempts award zero fitness</t>
  </si>
  <si>
    <t xml:space="preserve">reward hacking via task spam</t>
  </si>
  <si>
    <t xml:space="preserve">craftmind-study/craftmind-ranch/README.md 'What Makes This Different' item 1</t>
  </si>
  <si>
    <t xml:space="preserve">craftmind-study-P04</t>
  </si>
  <si>
    <t xml:space="preserve">task-confidence permanent boost</t>
  </si>
  <si>
    <t xml:space="preserve">A bot permanently improves its speed at a task by ~8% each time it succeeds — confidence accumulates per taskId inside the DNA (confidence: taskId -&gt; 0..1).</t>
  </si>
  <si>
    <t xml:space="preserve">completed task</t>
  </si>
  <si>
    <t xml:space="preserve">permanent speed increment on that task</t>
  </si>
  <si>
    <t xml:space="preserve">unbounded compounding turning repetition into invincibility</t>
  </si>
  <si>
    <t xml:space="preserve">craftmind-ranch/README.md 'A bot permanently improves its speed at a task by 8% each time it succeeds'; dna.js confidence field</t>
  </si>
  <si>
    <t xml:space="preserve">craftmind-study-P05</t>
  </si>
  <si>
    <t xml:space="preserve">soft population caps</t>
  </si>
  <si>
    <t xml:space="preserve">Soft caps keep turnover in the population — space is made for new genomes rather than a frozen elite.</t>
  </si>
  <si>
    <t xml:space="preserve">population size</t>
  </si>
  <si>
    <t xml:space="preserve">bounded, turning-over population</t>
  </si>
  <si>
    <t xml:space="preserve">population stays under the soft cap, oldest/weakest make room</t>
  </si>
  <si>
    <t xml:space="preserve">elite stagnation freezing evolution</t>
  </si>
  <si>
    <t xml:space="preserve">craftmind-ranch/README.md 'Key Features' item 'Soft population caps to encourage turnover'</t>
  </si>
  <si>
    <t xml:space="preserve">craftmind-study-P06</t>
  </si>
  <si>
    <t xml:space="preserve">empty knowledge graph substrate</t>
  </si>
  <si>
    <t xml:space="preserve">The researcher starts with no game knowledge: knowledge/ holds initial-facts.json, citations.json, building-techniques.json, meta-learner-state.json — a graph that grows only from its own experiments.</t>
  </si>
  <si>
    <t xml:space="preserve">empty/seeded fact graph</t>
  </si>
  <si>
    <t xml:space="preserve">growing cited knowledge base</t>
  </si>
  <si>
    <t xml:space="preserve">pre-programmed rulebooks (explicitly rejected: 'Most Minecraft agents operate from a complete, pre-programmed rulebook')</t>
  </si>
  <si>
    <t xml:space="preserve">craftmind-study/craftmind-researcher/knowledge/*.json; src/knowledge-base.js</t>
  </si>
  <si>
    <t xml:space="preserve">craftmind-study-P07</t>
  </si>
  <si>
    <t xml:space="preserve">gap -&gt; single-variable experiment</t>
  </si>
  <si>
    <t xml:space="preserve">The loop: identify gaps or contradictions in the graph, design a controlled experiment that changes only one variable at a time, run it, analyze for statistical consistency.</t>
  </si>
  <si>
    <t xml:space="preserve">knowledge graph with gaps</t>
  </si>
  <si>
    <t xml:space="preserve">one-variable A/B experiment + result</t>
  </si>
  <si>
    <t xml:space="preserve">multi-variable confounds entering as 'facts'</t>
  </si>
  <si>
    <t xml:space="preserve">craftmind-researcher/README.md 'How It Works' (identifies gaps, 'controlled experiments that change only one variable at a time')</t>
  </si>
  <si>
    <t xml:space="preserve">craftmind-study-P08</t>
  </si>
  <si>
    <t xml:space="preserve">reproducibility-before-fact rule</t>
  </si>
  <si>
    <t xml:space="preserve">Results must be reproducible before a conclusion enters the knowledge base, and every learned fact logs citations to its source experiment data.</t>
  </si>
  <si>
    <t xml:space="preserve">experimental result</t>
  </si>
  <si>
    <t xml:space="preserve">cited fact or discarded claim</t>
  </si>
  <si>
    <t xml:space="preserve">a fact enters the KB only with reproducible results + experiment citation</t>
  </si>
  <si>
    <t xml:space="preserve">one-off anomalies hardening into 'knowledge'</t>
  </si>
  <si>
    <t xml:space="preserve">craftmind-researcher/README.md 'Requires reproducible results before accepting a finding. Logs every learned fact with citations'</t>
  </si>
  <si>
    <t xml:space="preserve">craftmind-study-P09</t>
  </si>
  <si>
    <t xml:space="preserve">multi-agent research chain</t>
  </si>
  <si>
    <t xml:space="preserve">The researcher is organized as specialist agents: discovery-agent, critic-agent, distiller-agent, teacher-agent, peer-review-system, hypothesis-tracker, experiment-validator, literature-review — peer review as code.</t>
  </si>
  <si>
    <t xml:space="preserve">candidate findings</t>
  </si>
  <si>
    <t xml:space="preserve">critiqued, distilled, taught knowledge</t>
  </si>
  <si>
    <t xml:space="preserve">a single agent grading its own homework</t>
  </si>
  <si>
    <t xml:space="preserve">craftmind-researcher/src/ file listing (critic-agent.js, peer-review-system.js, hypothesis-tracker.js, experiment-validator.js, meta-learner.js)</t>
  </si>
  <si>
    <t xml:space="preserve">craftmind-study-P10</t>
  </si>
  <si>
    <t xml:space="preserve">boids flock + personality matrix</t>
  </si>
  <si>
    <t xml:space="preserve">Sheep run a tuned boids algorithm (panic, tire, cluster); each dog has a six-axis personality (Speed, Patience, Obedience, Social, Bravery, Gentleness); weather affects visibility and movement; five standard courses.</t>
  </si>
  <si>
    <t xml:space="preserve">flock state, dog DNA, weather</t>
  </si>
  <si>
    <t xml:space="preserve">a living herding scenario</t>
  </si>
  <si>
    <t xml:space="preserve">scripted sheep (no emergent difficulty)</t>
  </si>
  <si>
    <t xml:space="preserve">craftmind-herding/README.md 'Personality Matrix' + 'Flock Simulation' + 'Environmental Effects'; src/flock-simulation.js, src/dog-personalities.js</t>
  </si>
  <si>
    <t xml:space="preserve">craftmind-study-P11</t>
  </si>
  <si>
    <t xml:space="preserve">correction-driven tier ascent</t>
  </si>
  <si>
    <t xml:space="preserve">You never give commands — you correct behavior from the fence line; agents learn only from interactions and outcomes during their own runtime, crossing five skill tiers (Apprentice to Elder) with small permanent stat adjustments.</t>
  </si>
  <si>
    <t xml:space="preserve">handler corrections + outcomes</t>
  </si>
  <si>
    <t xml:space="preserve">tier promotions with permanent stat deltas</t>
  </si>
  <si>
    <t xml:space="preserve">pre-trained models or uploaded datasets (explicitly: 'No Pre-Trained Models')</t>
  </si>
  <si>
    <t xml:space="preserve">craftmind-herding/README.md intro + 'Incremental Learning'; src/teachings.js, src/seasons.js</t>
  </si>
  <si>
    <t xml:space="preserve">craftmind-study-P12</t>
  </si>
  <si>
    <t xml:space="preserve">emergent-only teamwork rule</t>
  </si>
  <si>
    <t xml:space="preserve">Dogs coordinate solely through movement and positioning; no explicit communication is programmed — teamwork must appear, not be declared.</t>
  </si>
  <si>
    <t xml:space="preserve">multiple dogs' movements</t>
  </si>
  <si>
    <t xml:space="preserve">emergent cooperative herding</t>
  </si>
  <si>
    <t xml:space="preserve">no explicit inter-dog messaging channel</t>
  </si>
  <si>
    <t xml:space="preserve">smuggling in a comms channel would void the emergence claim</t>
  </si>
  <si>
    <t xml:space="preserve">craftmind-herding/README.md 'Emergent Teamwork: Dogs coordinate solely through movement and positioning; no explicit communication is programmed'</t>
  </si>
  <si>
    <t xml:space="preserve">craftmind-study-P13</t>
  </si>
  <si>
    <t xml:space="preserve">fork-first lineage isolation</t>
  </si>
  <si>
    <t xml:space="preserve">Development is fork-first across all three repos: every fork is a separate evolutionary lineage with its own Worker deployment; no two ranches produce identical bots; contributions return via PR.</t>
  </si>
  <si>
    <t xml:space="preserve">a fork</t>
  </si>
  <si>
    <t xml:space="preserve">an independent lineage</t>
  </si>
  <si>
    <t xml:space="preserve">shared training state leaking between forks</t>
  </si>
  <si>
    <t xml:space="preserve">craftmind-ranch/README.md 'What Makes This Different' item 3 + 'Contributing' ('Development is fork-first'); same pattern stated in researcher and herding READMEs</t>
  </si>
  <si>
    <t xml:space="preserve">craftmind-study-P14</t>
  </si>
  <si>
    <t xml:space="preserve">published budget ceilings</t>
  </si>
  <si>
    <t xml:space="preserve">Constraints are published as design forces: the herding reasoning loop must finish in &lt;10ms Worker CPU (8-10 agents max practical), and ranch evolution stalls without task completions — the study records limits as features.</t>
  </si>
  <si>
    <t xml:space="preserve">Worker CPU limits, task flow</t>
  </si>
  <si>
    <t xml:space="preserve">cognition shaped to the budget</t>
  </si>
  <si>
    <t xml:space="preserve">agent reasoning loop completes in &lt;10ms CPU</t>
  </si>
  <si>
    <t xml:space="preserve">hiding the ceiling until users hit it</t>
  </si>
  <si>
    <t xml:space="preserve">craftmind-herding/README.md 'Limitations' ('under 10ms of CPU time... 8-10 agents'); craftmind-ranch/README.md 'One Specific Limitation'</t>
  </si>
  <si>
    <t xml:space="preserve">craftmind-study-P15</t>
  </si>
  <si>
    <t xml:space="preserve">watchable live instances</t>
  </si>
  <si>
    <t xml:space="preserve">Each sibling runs as a public live instance (the-fleet.casey-digennaro.workers.dev/ranch) with scripts/playtest.js — 'You watch evolution do farm work', 'watch populations evolve, export generation data, or fork your own ranch in about two minutes': the interface is observation itself.</t>
  </si>
  <si>
    <t xml:space="preserve">deployed Worker</t>
  </si>
  <si>
    <t xml:space="preserve">a session a human can watch and steer</t>
  </si>
  <si>
    <t xml:space="preserve">an evolution story nobody can watch run</t>
  </si>
  <si>
    <t xml:space="preserve">craftmind-ranch/README.md live-instance link + 'Live instance' framing; scripts/playtest.js present in all three siblings</t>
  </si>
  <si>
    <t xml:space="preserve">craftmind-study-P16</t>
  </si>
  <si>
    <t xml:space="preserve">test trios + roadmap receipts</t>
  </si>
  <si>
    <t xml:space="preserve">Each sibling ships a test trio (test-all.js, test-ai.js, integration.test.js) and a ROADMAP.md — the study's repos carry their own verification and declared future, even as zero-dependency Workers.</t>
  </si>
  <si>
    <t xml:space="preserve">repo code</t>
  </si>
  <si>
    <t xml:space="preserve">per-sibling test suites + roadmaps</t>
  </si>
  <si>
    <t xml:space="preserve">emergence claims with no runnable verification</t>
  </si>
  <si>
    <t xml:space="preserve">craftmind-ranch/tests/ (test-all.js, test-ai.js, integration.test.js) + ROADMAP.md; same trio present in craftmind-researcher/ and craftmind-herding/</t>
  </si>
  <si>
    <t xml:space="preserve">quilt-atlas-P01</t>
  </si>
  <si>
    <t xml:space="preserve">atlas.json as the standing receipt</t>
  </si>
  <si>
    <t xml:space="preserve">One generated JSON holding generated_at_utc, total_repos, pages_fetched, pagination_cap, pagination_cap_hit, families, families_by_stage, family_members, classification, top_motion, notes — the whole map in one auditable file.</t>
  </si>
  <si>
    <t xml:space="preserve">GitHub API inventory run</t>
  </si>
  <si>
    <t xml:space="preserve">atlas.json</t>
  </si>
  <si>
    <t xml:space="preserve">hand-edits would break the receipt chain between runs</t>
  </si>
  <si>
    <t xml:space="preserve">quilt-atlas/atlas.json (keys verified by this lane via node require)</t>
  </si>
  <si>
    <t xml:space="preserve">quilt-atlas-P02</t>
  </si>
  <si>
    <t xml:space="preserve">marker-bounded generated block</t>
  </si>
  <si>
    <t xml:space="preserve">The README carries a generated block between ATLAS:BEGIN/ATLAS:END markers — 'do not hand-edit inside markers' — so prose and generated truth stay separable.</t>
  </si>
  <si>
    <t xml:space="preserve">README block with counts, families, top-motion table</t>
  </si>
  <si>
    <t xml:space="preserve">hand-edited generated regions silently drifting from atlas.json</t>
  </si>
  <si>
    <t xml:space="preserve">quilt-atlas/README.md lines 35-70 (markers present in the file as seen)</t>
  </si>
  <si>
    <t xml:space="preserve">quilt-atlas-P03</t>
  </si>
  <si>
    <t xml:space="preserve">6h re-inventory loop</t>
  </si>
  <si>
    <t xml:space="preserve">One scheduled workflow (atlas.yml) re-inventories every repo every 6 hours and commits the diff — the map only grows truer; nothing is deleted.</t>
  </si>
  <si>
    <t xml:space="preserve">the account's repo list</t>
  </si>
  <si>
    <t xml:space="preserve">fresh atlas.json + README block, committed as diff</t>
  </si>
  <si>
    <t xml:space="preserve">a stale map presented as current</t>
  </si>
  <si>
    <t xml:space="preserve">quilt-atlas/README.md intro + 'Or let the schedule do it: atlas.yml runs every 6h and on demand'</t>
  </si>
  <si>
    <t xml:space="preserve">quilt-atlas-P04</t>
  </si>
  <si>
    <t xml:space="preserve">Link-header pagination with hard cap</t>
  </si>
  <si>
    <t xml:space="preserve">Pagination follows API Link headers (rel=next) until the account is exhausted, bounded by a 120-page hard safety cap; pages_fetched, pagination_cap and pagination_cap_hit are receipted in atlas.json.</t>
  </si>
  <si>
    <t xml:space="preserve">paginated GitHub API</t>
  </si>
  <si>
    <t xml:space="preserve">complete-or-bounded inventory with cap flags</t>
  </si>
  <si>
    <t xml:space="preserve">hard cap 120 pages; a cap hit must set pagination_cap_hit=true rather than truncate silently</t>
  </si>
  <si>
    <t xml:space="preserve">a bounded run masquerading as a full inventory (the pre-v3 40-page pin at 4000)</t>
  </si>
  <si>
    <t xml:space="preserve">quilt-atlas/README.md v3 paragraph; atlas.json notes ('bounded by a hard safety cap of 120 pages (12000 repos)')</t>
  </si>
  <si>
    <t xml:space="preserve">quilt-atlas-P05</t>
  </si>
  <si>
    <t xml:space="preserve">name-then-description classifier</t>
  </si>
  <si>
    <t xml:space="preserve">A repo whose name matches nothing gets a second chance via its description — case-insensitive substring scoring against a small synonym table per family, highest score wins, ties broken by family precedence; still imperfect on purpose.</t>
  </si>
  <si>
    <t xml:space="preserve">repo name + description</t>
  </si>
  <si>
    <t xml:space="preserve">family assignment</t>
  </si>
  <si>
    <t xml:space="preserve">generic words (agent, lane, receipt, canon, seeds) hoovering unrelated repos — the exact suspicion the audits tested</t>
  </si>
  <si>
    <t xml:space="preserve">quilt-atlas/README.md 'Families (v2: name-first...)' paragraph</t>
  </si>
  <si>
    <t xml:space="preserve">quilt-atlas-P06</t>
  </si>
  <si>
    <t xml:space="preserve">per-repo classification evidence</t>
  </si>
  <si>
    <t xml:space="preserve">Every repo records [family, stage in {name,description,none}, matched keywords '|' joined, language] in atlas.json -&gt; classification — every assignment is auditable.</t>
  </si>
  <si>
    <t xml:space="preserve">classifier decision</t>
  </si>
  <si>
    <t xml:space="preserve">per-repo evidence row</t>
  </si>
  <si>
    <t xml:space="preserve">no family assignment without its evidence row</t>
  </si>
  <si>
    <t xml:space="preserve">unexplainable assignments (the v1 failure mode)</t>
  </si>
  <si>
    <t xml:space="preserve">quilt-atlas/README.md v2 evidence rule; atlas.json notes 'audit the map, do not trust it blind'</t>
  </si>
  <si>
    <t xml:space="preserve">quilt-atlas-P07</t>
  </si>
  <si>
    <t xml:space="preserve">CI probed on the moving frontier only</t>
  </si>
  <si>
    <t xml:space="preserve">CI coverage is measured only on the top-motion slice (API economy); absence of a CI row anywhere else is UNMEASURED, never zero.</t>
  </si>
  <si>
    <t xml:space="preserve">top-24 most recently pushed repos</t>
  </si>
  <si>
    <t xml:space="preserve">workflow-name column for that slice</t>
  </si>
  <si>
    <t xml:space="preserve">absence of measurement must render as UNMEASURED, not 0</t>
  </si>
  <si>
    <t xml:space="preserve">reporting 'no CI' for repos never probed</t>
  </si>
  <si>
    <t xml:space="preserve">quilt-atlas/README.md honesty laws; atlas.json notes ('absence elsewhere is UNMEASURED, not zero')</t>
  </si>
  <si>
    <t xml:space="preserve">quilt-atlas-P08</t>
  </si>
  <si>
    <t xml:space="preserve">fleet keyword audit (54-c)</t>
  </si>
  <si>
    <t xml:space="preserve">A deterministic 30-repo sample of the description-stage fleet population (then 1153) read by hand: 25/30 genuinely fleet (83% strict, 27/30 with defensible borderlines) — above the 70% bar, synonym table kept; misses receipted by name (lau-compilers 'agent DSL' tail-match, superinstance-embedder verb-matched 'Seeds').</t>
  </si>
  <si>
    <t xml:space="preserve">30-repo deterministic sample</t>
  </si>
  <si>
    <t xml:space="preserve">keep/kill decision + named misses</t>
  </si>
  <si>
    <t xml:space="preserve">precision bar 70% must be met to keep the synonym table</t>
  </si>
  <si>
    <t xml:space="preserve">hiding sample misses to defend the classifier</t>
  </si>
  <si>
    <t xml:space="preserve">quilt-atlas/README.md 'Fleet keyword audit (54-c)' paragraph; atlas.json notes (keyword surface agent=844, fleet=425, crab=9, lane=6, receipt=6, seeds=2)</t>
  </si>
  <si>
    <t xml:space="preserve">quilt-atlas-P09</t>
  </si>
  <si>
    <t xml:space="preserve">qthe keyword audit + canon census (55-c)</t>
  </si>
  <si>
    <t xml:space="preserve">The queued finding audited: 26/30 genuinely qthe (87% strict, 93% with two receipted tie-zone borderlines); the 'canonical'-adjective suspicion confirmed but bounded — full census of all 25 canon-surface repos found 9 adjective collisions vs 16 genuine noun usages, a residual of ~2% priced rather than fixed.</t>
  </si>
  <si>
    <t xml:space="preserve">30-repo sample + full 25-repo canon census</t>
  </si>
  <si>
    <t xml:space="preserve">keep decision + priced residual + tie-zone examples (strategy-ecology)</t>
  </si>
  <si>
    <t xml:space="preserve">family precision &gt;= 70% bar; residual below that is priced, not reclassified</t>
  </si>
  <si>
    <t xml:space="preserve">unforced reclassification churn violating the stability rule</t>
  </si>
  <si>
    <t xml:space="preserve">quilt-atlas/README.md 'qthe keyword audit (55-c)' paragraph; atlas.json notes item 6</t>
  </si>
  <si>
    <t xml:space="preserve">quilt-atlas-P10</t>
  </si>
  <si>
    <t xml:space="preserve">top-motion table as the aliveness interface</t>
  </si>
  <si>
    <t xml:space="preserve">The README's table of the 24 most recently pushed repos with their workflow names and last-push UTC timestamps — the stranger's answer to 'is it alive', with a pointer that missing rows are below the motion cut.</t>
  </si>
  <si>
    <t xml:space="preserve">top-motion slice + CI probe</t>
  </si>
  <si>
    <t xml:space="preserve">README table</t>
  </si>
  <si>
    <t xml:space="preserve">reading the table as the full inventory (it is a cut, and says so)</t>
  </si>
  <si>
    <t xml:space="preserve">quilt-atlas/README.md '### Top motion (24 most recently pushed)' table; 'Missing rows in the table are below the motion cut'</t>
  </si>
  <si>
    <t xml:space="preserve">quilt-atlas-P11</t>
  </si>
  <si>
    <t xml:space="preserve">true-count generated statement</t>
  </si>
  <si>
    <t xml:space="preserve">The generated block states the true count — 4856 repos (49 pages, Link-follow cap 120) — instead of pinning at 4000, with the generation timestamp beside it.</t>
  </si>
  <si>
    <t xml:space="preserve">completed pagination</t>
  </si>
  <si>
    <t xml:space="preserve">count + pages + timestamp line</t>
  </si>
  <si>
    <t xml:space="preserve">a pinned stale count (the v2 cap artifact)</t>
  </si>
  <si>
    <t xml:space="preserve">quilt-atlas/README.md generated block line '**4856 repos** (49 pages, Link-follow cap 120) ... generated 2026-09-29T12:52:35.737Z'</t>
  </si>
  <si>
    <t xml:space="preserve">quilt-atlas-P12</t>
  </si>
  <si>
    <t xml:space="preserve">honest residue + stability rule</t>
  </si>
  <si>
    <t xml:space="preserve">'other' is honest residue, not failure; families are imperfect on purpose and the stability rule forbids unforced reclassification — precision bars are met or the residual is priced in writing.</t>
  </si>
  <si>
    <t xml:space="preserve">unclassifiable repos, priced residuals</t>
  </si>
  <si>
    <t xml:space="preserve">a classifier that changes only under evidence</t>
  </si>
  <si>
    <t xml:space="preserve">no reclassification without an audit forcing it</t>
  </si>
  <si>
    <t xml:space="preserve">churning families on anecdote</t>
  </si>
  <si>
    <t xml:space="preserve">quilt-atlas/README.md families list ('other — honest residue, not failure') + honesty laws; atlas.json notes ('stability rule forbids unforced reclassification')</t>
  </si>
  <si>
    <t xml:space="preserve">quilt-codespace-P01</t>
  </si>
  <si>
    <t xml:space="preserve">devcontainer template substrate</t>
  </si>
  <si>
    <t xml:space="preserve">A GitHub template repo whose .devcontainer post-create.sh auto-installs deps, starts the three services and prints URLs — the runtime begins at fork time.</t>
  </si>
  <si>
    <t xml:space="preserve">'Use this template' + 'Open in Codespace'</t>
  </si>
  <si>
    <t xml:space="preserve">a booted 3-service Codespace in 2-3 minutes</t>
  </si>
  <si>
    <t xml:space="preserve">a post-create that fails silently leaves a dead runtime with no token printed</t>
  </si>
  <si>
    <t xml:space="preserve">quilt-codespace/README.md Quick start + Scripts section (.devcontainer/post-create.sh)</t>
  </si>
  <si>
    <t xml:space="preserve">quilt-codespace-P02</t>
  </si>
  <si>
    <t xml:space="preserve">in-process engine with fallback</t>
  </si>
  <si>
    <t xml:space="preserve">scripts/quilt-http-server.js imports @quilt/core when present and otherwise warns and uses a minimal in-memory implementation — the API surface survives without the real engine.</t>
  </si>
  <si>
    <t xml:space="preserve">@quilt/core (optional)</t>
  </si>
  <si>
    <t xml:space="preserve">QuiltEngine + parseSheet (real or fallback)</t>
  </si>
  <si>
    <t xml:space="preserve">fallback semantics diverging from core semantics without saying so (the WARN is the honest seam)</t>
  </si>
  <si>
    <t xml:space="preserve">quilt-codespace/scripts/quilt-http-server.js header comment + try/catch dynamic import</t>
  </si>
  <si>
    <t xml:space="preserve">quilt-codespace-P03</t>
  </si>
  <si>
    <t xml:space="preserve">three-service port layout</t>
  </si>
  <si>
    <t xml:space="preserve">TUI (ttyd) :7681, HTTP API :4096, Dashboard :8080 — fixed ports with fixed jobs, all fed by the same engine.</t>
  </si>
  <si>
    <t xml:space="preserve">one Quilt engine</t>
  </si>
  <si>
    <t xml:space="preserve">three concurrent doors</t>
  </si>
  <si>
    <t xml:space="preserve">port drift breaking the printed-URL contract</t>
  </si>
  <si>
    <t xml:space="preserve">quilt-codespace/README.md ASCII diagram + 'What ships' table</t>
  </si>
  <si>
    <t xml:space="preserve">quilt-codespace-P04</t>
  </si>
  <si>
    <t xml:space="preserve">cell-grained HTTP API</t>
  </si>
  <si>
    <t xml:space="preserve">GET/PUT /cells/:instance/:sheet/:cellPath, GET .../events (SSE stream of changes), POST /evaluate (force re-evaluation), GET /health, GET /meta (tier + capabilities).</t>
  </si>
  <si>
    <t xml:space="preserve">HTTP requests with bearer token</t>
  </si>
  <si>
    <t xml:space="preserve">cell values, event streams, health, tier metadata</t>
  </si>
  <si>
    <t xml:space="preserve">coarse whole-sheet endpoints would leak state and prevent cell-level federation</t>
  </si>
  <si>
    <t xml:space="preserve">quilt-codespace/scripts/quilt-http-server.js route documentation block (lines 1-19)</t>
  </si>
  <si>
    <t xml:space="preserve">quilt-codespace-P05</t>
  </si>
  <si>
    <t xml:space="preserve">bearer-token gate</t>
  </si>
  <si>
    <t xml:space="preserve">Every request carries Authorization: Bearer $QUILT_TOKEN; the post-create script prints the token once for the operator to save.</t>
  </si>
  <si>
    <t xml:space="preserve">HTTP request</t>
  </si>
  <si>
    <t xml:space="preserve">authorized or rejected</t>
  </si>
  <si>
    <t xml:space="preserve">missing/incorrect bearer token rejects the route</t>
  </si>
  <si>
    <t xml:space="preserve">an open runtime on a public githubpreview.dev URL</t>
  </si>
  <si>
    <t xml:space="preserve">quilt-codespace/README.md curl examples; quilt-http-server.js 'Token-authenticated via Authorization: Bearer &lt;QUILT_TOKEN&gt;'</t>
  </si>
  <si>
    <t xml:space="preserve">quilt-codespace-P06</t>
  </si>
  <si>
    <t xml:space="preserve">browser TUI (ttyd)</t>
  </si>
  <si>
    <t xml:space="preserve">A terminal in the browser running `quilt serve` — the operator's door, zero local install.</t>
  </si>
  <si>
    <t xml:space="preserve">quilt serve process</t>
  </si>
  <si>
    <t xml:space="preserve">interactive TUI at :7681</t>
  </si>
  <si>
    <t xml:space="preserve">a headless runtime nobody can watch</t>
  </si>
  <si>
    <t xml:space="preserve">quilt-codespace/README.md 'What ships' table row TUI (ttyd)</t>
  </si>
  <si>
    <t xml:space="preserve">quilt-codespace-P07</t>
  </si>
  <si>
    <t xml:space="preserve">federation dashboard</t>
  </si>
  <si>
    <t xml:space="preserve">A static landing page at :8080 showing the federation view — which siblings exist and what this instance subscribes to.</t>
  </si>
  <si>
    <t xml:space="preserve">instance + subscription config</t>
  </si>
  <si>
    <t xml:space="preserve">human-readable federation view</t>
  </si>
  <si>
    <t xml:space="preserve">a dashboard describing subscriptions that are not actually live</t>
  </si>
  <si>
    <t xml:space="preserve">quilt-codespace/README.md 'What ships' table row Dashboard</t>
  </si>
  <si>
    <t xml:space="preserve">quilt-codespace-P08</t>
  </si>
  <si>
    <t xml:space="preserve">fed-autopilot three-tier stack</t>
  </si>
  <si>
    <t xml:space="preserve">examples/fed-autopilot/cell.yaml wires a 3-tier boat: ESP32 (sensors rudder/compass, motor actuators, local PID), Jetson (vision obstacles/wind, local LLM), Codespace (anomaly score, tuning, audit).</t>
  </si>
  <si>
    <t xml:space="preserve">cell.yaml tier declarations</t>
  </si>
  <si>
    <t xml:space="preserve">one control loop spanning three hardware tiers</t>
  </si>
  <si>
    <t xml:space="preserve">tight-loop control depending on the slow brain tier</t>
  </si>
  <si>
    <t xml:space="preserve">quilt-codespace/README.md 'The fed-autopilot example' tier table</t>
  </si>
  <si>
    <t xml:space="preserve">quilt-codespace-P09</t>
  </si>
  <si>
    <t xml:space="preserve">subscribe-down / push-up role split</t>
  </si>
  <si>
    <t xml:space="preserve">The brain tier subscribes to sensor/perception cells (rudder, compass, wind, obstacles) and pushes back only tunables (algo.pid_kp) and audit records (autopilot.last_decision) — it advises, it never steers the tight loop.</t>
  </si>
  <si>
    <t xml:space="preserve">subscribed sibling cell events</t>
  </si>
  <si>
    <t xml:space="preserve">PID tunable writes + audit trail writes</t>
  </si>
  <si>
    <t xml:space="preserve">the codespace may write only tunables and audit rows, never actuator cells</t>
  </si>
  <si>
    <t xml:space="preserve">cloud latency steering a rudder</t>
  </si>
  <si>
    <t xml:space="preserve">quilt-codespace/README.md 'The codespace subscribes to... And pushes back...'</t>
  </si>
  <si>
    <t xml:space="preserve">quilt-codespace-P10</t>
  </si>
  <si>
    <t xml:space="preserve">federation URI scheme</t>
  </si>
  <si>
    <t xml:space="preserve">quilt://[instance-id]/[sheet-id]#[cell-path] with wildcard and fleet-wide forms (quilt://*[/]/prod#x, quilt://esp32-fleet/+#rudder.angle) — addressing is a string, transport is pluggable.</t>
  </si>
  <si>
    <t xml:space="preserve">cell reference strings</t>
  </si>
  <si>
    <t xml:space="preserve">resolvable, subscribable handles</t>
  </si>
  <si>
    <t xml:space="preserve">ambiguous instance/sheet/cell parsing across tiers</t>
  </si>
  <si>
    <t xml:space="preserve">quilt-codespace/README.md Federation section (cites @quilt/sdk resolveCell/subscribeCell, federation landing page)</t>
  </si>
  <si>
    <t xml:space="preserve">quilt-codespace-P11</t>
  </si>
  <si>
    <t xml:space="preserve">ephemerality disclosure + exits</t>
  </si>
  <si>
    <t xml:space="preserve">The template states that ~/.quilt/state is lost at Codespace shutdown, and names the exits: ~/.quilt-env for the token, seed.json for initial cells, sync to a persistent tier for long-lived state.</t>
  </si>
  <si>
    <t xml:space="preserve">Codespace lifecycle</t>
  </si>
  <si>
    <t xml:space="preserve">documented persistence strategy</t>
  </si>
  <si>
    <t xml:space="preserve">shutdown loses state unless one of the named exits was taken</t>
  </si>
  <si>
    <t xml:space="preserve">assuming the Codespace is a persistent host</t>
  </si>
  <si>
    <t xml:space="preserve">quilt-codespace/README.md 'Persistent state' section</t>
  </si>
  <si>
    <t xml:space="preserve">quilt-codespace-P12</t>
  </si>
  <si>
    <t xml:space="preserve">cocapn room -&gt; tier mapping</t>
  </si>
  <si>
    <t xml:space="preserve">A five-row table maps the cocapn 5-tier deployment model (BareRoom -&gt; EdgeRoom -&gt; CodespaceRoom -&gt; SandboxRoom -&gt; Lighthouse) onto quilt tiers with the owning repos, and credits the adapted patterns (agent-workspace-template, codespace-worker, cocapn-runtime).</t>
  </si>
  <si>
    <t xml:space="preserve">cocapn room model</t>
  </si>
  <si>
    <t xml:space="preserve">quilt tier table with repos</t>
  </si>
  <si>
    <t xml:space="preserve">reninventing deployment tiers instead of mapping borrowed ones</t>
  </si>
  <si>
    <t xml:space="preserve">quilt-codespace/README.md 'Patterns adapted from the ecosystem' + mapping table</t>
  </si>
  <si>
    <t xml:space="preserve">quilt-codespace-P13</t>
  </si>
  <si>
    <t xml:space="preserve">tier auto-detection</t>
  </si>
  <si>
    <t xml:space="preserve">@quilt/sdk detectTier() returns {tier: 'codespace', instanceId, platform, capabilities: {async, network, llmApi, gpu}, siblings}, overridable via QUILT_TIER / QUILT_INSTANCE_ID env vars.</t>
  </si>
  <si>
    <t xml:space="preserve">runtime environment probes</t>
  </si>
  <si>
    <t xml:space="preserve">tier identity + capability flags</t>
  </si>
  <si>
    <t xml:space="preserve">wrong tier guess silently disabling capabilities</t>
  </si>
  <si>
    <t xml:space="preserve">quilt-codespace/README.md 'Tier auto-detection' section with the literal JSON shape</t>
  </si>
  <si>
    <t xml:space="preserve">quilt-codespace-P14</t>
  </si>
  <si>
    <t xml:space="preserve">/health + /meta self-report</t>
  </si>
  <si>
    <t xml:space="preserve">The server exposes GET /health and GET /meta (tier + capabilities), and the post-create script prints the three URLs plus the runtime token at boot — the runtime receipts which tier it is and that it is alive, to itself first.</t>
  </si>
  <si>
    <t xml:space="preserve">running services</t>
  </si>
  <si>
    <t xml:space="preserve">health + tier metadata responses; printed URLs/token at boot</t>
  </si>
  <si>
    <t xml:space="preserve">a runtime that cannot state its own tier or liveness</t>
  </si>
  <si>
    <t xml:space="preserve">quilt-codespace/scripts/quilt-http-server.js route block ('GET /health | server health', 'GET /meta | tier + capabilities'); README Quick start step 3 ('The terminal shows three URLs and a runtime token. Save the token.')</t>
  </si>
  <si>
    <t xml:space="preserve">si-fleet-P01</t>
  </si>
  <si>
    <t xml:space="preserve">monorepo of fleet lanes</t>
  </si>
  <si>
    <t xml:space="preserve">Five subprojects under one repo — tidepool (shared memory), quilt-cloudflare (edge runtime), jev-quilt (Python JEV engine + polyform ports), quilt-ai (AI cells), quilt-agent (agent-as-sheet) — infrastructure and coordination live together.</t>
  </si>
  <si>
    <t xml:space="preserve">fleet repos</t>
  </si>
  <si>
    <t xml:space="preserve">one HEAD coordinating five lanes</t>
  </si>
  <si>
    <t xml:space="preserve">divergent copies of the cell model across lanes</t>
  </si>
  <si>
    <t xml:space="preserve">si-fleet/ directory listing (tidepool/, quilt-cloudflare/, jev-quilt/, quilt-ai/, quilt-agent/)</t>
  </si>
  <si>
    <t xml:space="preserve">si-fleet-P02</t>
  </si>
  <si>
    <t xml:space="preserve">tidepool dual-index stores</t>
  </si>
  <si>
    <t xml:space="preserve">Cloudflare D1 journal for artifacts + two Vectorize indexes: 16-dim 'native' domain fingerprint and 768-dim BGE semantic embedding written at store time.</t>
  </si>
  <si>
    <t xml:space="preserve">POST /api/remember {kind, author, title, body, native?, repo?, run?}</t>
  </si>
  <si>
    <t xml:space="preserve">journaled + embedded artifacts recallable by vector or text</t>
  </si>
  <si>
    <t xml:space="preserve">an unbound binding (no D1/Vectorize) must degrade honestly, not throw</t>
  </si>
  <si>
    <t xml:space="preserve">si-fleet/tidepool/README.md routes table + provision commands</t>
  </si>
  <si>
    <t xml:space="preserve">si-fleet-P03</t>
  </si>
  <si>
    <t xml:space="preserve">WRITE at task end</t>
  </si>
  <si>
    <t xml:space="preserve">Distill the task to &lt;=200 words — what was decided, learned, and what gap remains — and POST it fire-and-forget so it never blocks the lane.</t>
  </si>
  <si>
    <t xml:space="preserve">finished task</t>
  </si>
  <si>
    <t xml:space="preserve">one distilled artifact in the ocean</t>
  </si>
  <si>
    <t xml:space="preserve">distillation &lt;= 200 words</t>
  </si>
  <si>
    <t xml:space="preserve">unbounded dumping would turn the ocean into a log dump</t>
  </si>
  <si>
    <t xml:space="preserve">si-fleet/tidepool/README.md 'WRITE at task end, fire-and-forget, never blocks'</t>
  </si>
  <si>
    <t xml:space="preserve">si-fleet-P04</t>
  </si>
  <si>
    <t xml:space="preserve">READ at task start</t>
  </si>
  <si>
    <t xml:space="preserve">Recall-prime the top 3 relevant artifacts into context: hybrid semantic recall with an honest text fallback, a recent mode when no query is given, and /api/recall/similar for neighbors of an artifact or a raw native vector.</t>
  </si>
  <si>
    <t xml:space="preserve">task context / query q</t>
  </si>
  <si>
    <t xml:space="preserve">top-3 artifacts primed into the working context</t>
  </si>
  <si>
    <t xml:space="preserve">silent semantic-only failure (the text fallback exists because embeddings can be empty)</t>
  </si>
  <si>
    <t xml:space="preserve">si-fleet/tidepool/README.md routes table 'GET /api/recall?q=...'</t>
  </si>
  <si>
    <t xml:space="preserve">si-fleet-P05</t>
  </si>
  <si>
    <t xml:space="preserve">provenance discipline</t>
  </si>
  <si>
    <t xml:space="preserve">Never secrets; every result carries author and ts; prefer recent; distrust unlabeled — the same rule as memory files, applied to the shared ocean.</t>
  </si>
  <si>
    <t xml:space="preserve">any artifact write</t>
  </si>
  <si>
    <t xml:space="preserve">artifact with author+ts stamps</t>
  </si>
  <si>
    <t xml:space="preserve">a write without author/ts is distrusted by policy</t>
  </si>
  <si>
    <t xml:space="preserve">unlabeled artifacts polluting recall</t>
  </si>
  <si>
    <t xml:space="preserve">si-fleet/tidepool/README.md protocol bullets 'Never secrets', 'Every result carries author and ts'</t>
  </si>
  <si>
    <t xml:space="preserve">si-fleet-P06</t>
  </si>
  <si>
    <t xml:space="preserve">absence is information</t>
  </si>
  <si>
    <t xml:space="preserve">If recall returns nothing, that emptiness is a finding: write the first stone — the protocol turns empty memory into an obligation to seed it.</t>
  </si>
  <si>
    <t xml:space="preserve">empty recall result</t>
  </si>
  <si>
    <t xml:space="preserve">the first artifact on that topic</t>
  </si>
  <si>
    <t xml:space="preserve">empty recall obligates a first write</t>
  </si>
  <si>
    <t xml:space="preserve">treating empty recall as 'nothing to see' and moving on</t>
  </si>
  <si>
    <t xml:space="preserve">si-fleet/tidepool/README.md 'Absence is information — if recall returns nothing, write the first stone'</t>
  </si>
  <si>
    <t xml:space="preserve">si-fleet-P07</t>
  </si>
  <si>
    <t xml:space="preserve">honest degrade, never 502</t>
  </si>
  <si>
    <t xml:space="preserve">Unbound bindings report themselves in /health and in route responses; the service degrades honestly instead of erroring — infrastructure that admits what it lacks.</t>
  </si>
  <si>
    <t xml:space="preserve">any request against unbound D1/Vectorize/AI</t>
  </si>
  <si>
    <t xml:space="preserve">self-describing degraded response, health report</t>
  </si>
  <si>
    <t xml:space="preserve">the pool must never return 502; degradation is declared, not hidden</t>
  </si>
  <si>
    <t xml:space="preserve">a hard error page would hide which binding is missing</t>
  </si>
  <si>
    <t xml:space="preserve">si-fleet/tidepool/README.md 'Degrade honest, never 502 — unbound bindings report themselves in /health'</t>
  </si>
  <si>
    <t xml:space="preserve">si-fleet-P08</t>
  </si>
  <si>
    <t xml:space="preserve">privacy-preserving rate limit</t>
  </si>
  <si>
    <t xml:space="preserve">45/min/IP sliding window where the IP exists only as an fnv1a fingerprint — the meter works without storing identities.</t>
  </si>
  <si>
    <t xml:space="preserve">incoming request stream</t>
  </si>
  <si>
    <t xml:space="preserve">admission decisions + 429s inside the window</t>
  </si>
  <si>
    <t xml:space="preserve">max 45 requests/min per IP fingerprint</t>
  </si>
  <si>
    <t xml:space="preserve">storing raw IPs would violate the never-secrets rule</t>
  </si>
  <si>
    <t xml:space="preserve">si-fleet/tidepool/README.md 'Rate limit: 45/min/IP sliding window, fnv1a(ip) fingerprints only'; smoke check '429s engage inside the window'</t>
  </si>
  <si>
    <t xml:space="preserve">si-fleet-P09</t>
  </si>
  <si>
    <t xml:space="preserve">JEV recall gate</t>
  </si>
  <si>
    <t xml:space="preserve">Optional schema-bounded conscience on the recall path: typed surface/suppress/abstain with confidence, agreement mass sigma = sqrt(c_emb * c_jev) across two local witnesses, TIDEPOOL_JEV_FLOOR (default 0.5) refuses below-floor pairings as typed abstain; deterministic mock without an endpoint.</t>
  </si>
  <si>
    <t xml:space="preserve">scored recall row + embedding confidence + JEV verdict</t>
  </si>
  <si>
    <t xml:space="preserve">annotated row with typed decision</t>
  </si>
  <si>
    <t xml:space="preserve">pairings below the floor refuse as a typed abstain; untyped JEV input fails closed</t>
  </si>
  <si>
    <t xml:space="preserve">malformed body / network error must fail closed to typed abstain (tested)</t>
  </si>
  <si>
    <t xml:space="preserve">si-fleet/tidepool/README.md 'JEV gate (four-model psyche)' section; si-fleet/tidepool/src/jev.mjs</t>
  </si>
  <si>
    <t xml:space="preserve">si-fleet-P10</t>
  </si>
  <si>
    <t xml:space="preserve">quilt at the edge</t>
  </si>
  <si>
    <t xml:space="preserve">quilt-cloudflare: the same cell model and YAML sheets persisted in D1, searchable via Vectorize, cached in KV, fan-out at the edge; /run loads a sheet, /cell/:id reads a cell.</t>
  </si>
  <si>
    <t xml:space="preserve">YAML sheet body</t>
  </si>
  <si>
    <t xml:space="preserve">a running Quilt engine per Workers deployment</t>
  </si>
  <si>
    <t xml:space="preserve">edge/state divergence if D1 persistence is skipped</t>
  </si>
  <si>
    <t xml:space="preserve">si-fleet/quilt-cloudflare/README.md 'The same cell model, the same YAML sheets...'; src/worker.ts, src/tide.ts, src/ocean.ts</t>
  </si>
  <si>
    <t xml:space="preserve">si-fleet-P11</t>
  </si>
  <si>
    <t xml:space="preserve">AI as cell kinds + router</t>
  </si>
  <si>
    <t xml:space="preserve">@quilt/ai: 4 providers (zai, kimi, deepseek, cloudflare), 8 cell kinds, one uniform interface; the mermaid diagram's rule — 'the router spending tokens only when it must' — with budget.over as the router input.</t>
  </si>
  <si>
    <t xml:space="preserve">cell calls with provider keys</t>
  </si>
  <si>
    <t xml:space="preserve">LLM/embedding/image results as reactive cells</t>
  </si>
  <si>
    <t xml:space="preserve">router escalates to expensive providers only when the cheap path or budget says so</t>
  </si>
  <si>
    <t xml:space="preserve">indiscriminate premium-model calls burning the budget</t>
  </si>
  <si>
    <t xml:space="preserve">si-fleet/quilt-ai/README.md '4 providers. 8 cell kinds. 1 uniform interface.' + mermaid router diagram; src/providers/*.ts</t>
  </si>
  <si>
    <t xml:space="preserve">si-fleet-P12</t>
  </si>
  <si>
    <t xml:space="preserve">agent-as-sheet</t>
  </si>
  <si>
    <t xml:space="preserve">quilt-agent: the agent IS a sheet — memory is value cells, tools are api cells, reasoning is program cells, goals are listener cells, conversation history is a growing value cell, the prompt is a formula over it.</t>
  </si>
  <si>
    <t xml:space="preserve">YAML agent sheet (input.task, memory, tool.search, tool.llm, reasoning.prompt...)</t>
  </si>
  <si>
    <t xml:space="preserve">an agent whose every capability is an inspectable cell</t>
  </si>
  <si>
    <t xml:space="preserve">hidden agent state outside cells breaks inspectability</t>
  </si>
  <si>
    <t xml:space="preserve">si-fleet/quilt-agent/README.md 'The agent is a sheet...' + examples/research-agent.yaml</t>
  </si>
  <si>
    <t xml:space="preserve">si-fleet-P13</t>
  </si>
  <si>
    <t xml:space="preserve">CANON.md identity headers</t>
  </si>
  <si>
    <t xml:space="preserve">Each lane declares canon front-matter — mission, state, family, vessel, born_from, feeds, owed_by, canonical_docs, ledger, verified date — identity and debts as parseable metadata.</t>
  </si>
  <si>
    <t xml:space="preserve">lane self-description</t>
  </si>
  <si>
    <t xml:space="preserve">machine-readable coordination contract</t>
  </si>
  <si>
    <t xml:space="preserve">a lane with no declared feeds/owed_by is uncoordinated by construction</t>
  </si>
  <si>
    <t xml:space="preserve">si-fleet/tidepool/CANON.md (canon: 1, mission, feeds: [quilt-studio, duke-lab], owed_by, verified: 2026-09-22)</t>
  </si>
  <si>
    <t xml:space="preserve">si-fleet-P14</t>
  </si>
  <si>
    <t xml:space="preserve">fully mocked offline test wall</t>
  </si>
  <si>
    <t xml:space="preserve">tidepool's 18-check smoke + 13 node tests run with mocked D1/Vectorize/AI and deterministic embeddings — including fail-closed, floor refusal, and gate-off bit-identity checks — green with zero network.</t>
  </si>
  <si>
    <t xml:space="preserve">npm test</t>
  </si>
  <si>
    <t xml:space="preserve">18+13 passing checks</t>
  </si>
  <si>
    <t xml:space="preserve">gate-off responses must remain bit-identical to ungated ones</t>
  </si>
  <si>
    <t xml:space="preserve">an opt-in gate that silently changes default behavior</t>
  </si>
  <si>
    <t xml:space="preserve">si-fleet/tidepool/tests/tidepool.smoke.mjs, tests/jev.test.mjs; this lane's run: 18 passed + 13 pass, 0 fail</t>
  </si>
  <si>
    <t xml:space="preserve">si-fleet-P15</t>
  </si>
  <si>
    <t xml:space="preserve">polyformalism ports</t>
  </si>
  <si>
    <t xml:space="preserve">One primitive (fnv1a) written in python, c, rust, plus polyform Cell in Haskell and bookkeeper in Mercury — the claim 'same semantics in every substrate' made executable.</t>
  </si>
  <si>
    <t xml:space="preserve">fnv1a spec</t>
  </si>
  <si>
    <t xml:space="preserve">language-identical hashes across 5 substrates</t>
  </si>
  <si>
    <t xml:space="preserve">substrate-specific drift in the hash basis (the thing crab-traps depends on)</t>
  </si>
  <si>
    <t xml:space="preserve">si-fleet/jev-quilt/polyformalism/fnv1a_python.py, fnv1a_c.c, fnv1a_rust.rs, polyform/haskell/Cell.hs, polyform/mercury/bookkeeper.m</t>
  </si>
  <si>
    <t xml:space="preserve">si-fleet-P16</t>
  </si>
  <si>
    <t xml:space="preserve">deployability receipts</t>
  </si>
  <si>
    <t xml:space="preserve">Every subproject ships its own deploy path: wrangler.toml bindings, DEPLOY.md steps, a committed dist/ worker bundle, MIT/Apache licenses — 'you can run this' is part of the artifact.</t>
  </si>
  <si>
    <t xml:space="preserve">worker source</t>
  </si>
  <si>
    <t xml:space="preserve">deploy commands + built bundle</t>
  </si>
  <si>
    <t xml:space="preserve">docs that promise a deploy the repo cannot perform</t>
  </si>
  <si>
    <t xml:space="preserve">si-fleet/tidepool/worker/wrangler.toml; si-fleet/quilt-cloudflare/DEPLOY.md + dist/worker.js; package.json files present in each lane</t>
  </si>
  <si>
    <t xml:space="preserve">external-scouts-P01</t>
  </si>
  <si>
    <t xml:space="preserve">raw-search-receipt substrate</t>
  </si>
  <si>
    <t xml:space="preserve">Every scout query archives its raw JSON result dump (url, name, snippet, host, rank, date) under scouts/raw/ before any synthesis — the senses keep receipts, so synthesis can be audited against what the search actually returned.</t>
  </si>
  <si>
    <t xml:space="preserve">web search results</t>
  </si>
  <si>
    <t xml:space="preserve">scouts/raw/*.json</t>
  </si>
  <si>
    <t xml:space="preserve">raw receipts are archived before synthesis is written</t>
  </si>
  <si>
    <t xml:space="preserve">synthesizing from memory with no auditable receipt of what was seen</t>
  </si>
  <si>
    <t xml:space="preserve">jev-garden/scouts/raw/ (5 files); scout report header 'Raw search receipts: scouts/raw/*.json (5 queries...)'</t>
  </si>
  <si>
    <t xml:space="preserve">external-scouts-P02</t>
  </si>
  <si>
    <t xml:space="preserve">hit-to-garden mapping rows</t>
  </si>
  <si>
    <t xml:space="preserve">The scout report is a table where each external line names exactly what it gives the garden (HDC -&gt; 'THDC justifies training-free prototype growth'; TTT -&gt; 'the garden's weaver = TTA at the system level'; JEPA -&gt; 'Task A IS next-receipt latent prediction') — import with a stated use, never import for prestige.</t>
  </si>
  <si>
    <t xml:space="preserve">raw hits</t>
  </si>
  <si>
    <t xml:space="preserve">one garden-use row per research line</t>
  </si>
  <si>
    <t xml:space="preserve">a hit enters synthesis only with a named 'what it gives the garden'</t>
  </si>
  <si>
    <t xml:space="preserve">citation theater — collecting papers with no design consequence</t>
  </si>
  <si>
    <t xml:space="preserve">jev-garden/scouts/2026-09-28-living-jev-research.md 'What the outside world says' table</t>
  </si>
  <si>
    <t xml:space="preserve">external-scouts-P03</t>
  </si>
  <si>
    <t xml:space="preserve">V-JEPA 2 lineage claims</t>
  </si>
  <si>
    <t xml:space="preserve">Human-JEPA 'built from the released V-JEPA 2.1 (Mur-Labadia et al., 2026) by anchored forecasting with two changes and one omission' (arxiv, Aug 2026); LeCun/AMI Labs JEPA with '1.5-6x training efficiency' (zylos.ai); ThinkJEPA latent world models + large VLM reasoning (github, Mar 2026); V-JEPA 2 'dual loss combining diffusion and physics regression' (emergentmind).</t>
  </si>
  <si>
    <t xml:space="preserve">search hits</t>
  </si>
  <si>
    <t xml:space="preserve">a live, dated research lineage</t>
  </si>
  <si>
    <t xml:space="preserve">treating marketing snippets as paper-grade evidence (these are REPORTED-grade hits)</t>
  </si>
  <si>
    <t xml:space="preserve">jev-garden/scouts/raw/V-JEPA_2_JEPA_world_mode.json ranks 0-3 (snippets as archived)</t>
  </si>
  <si>
    <t xml:space="preserve">external-scouts-P04</t>
  </si>
  <si>
    <t xml:space="preserve">borrowed: mainstream-line confirmation</t>
  </si>
  <si>
    <t xml:space="preserve">What the fleet took: confirmation that predict-in-embedding-space is the world-model mainstream — 'the garden's Task A IS next-receipt latent prediction; quilt-jepa (our repo) is the cell-mesh cousin.' Borrowed as orientation, not origin.</t>
  </si>
  <si>
    <t xml:space="preserve">JEPA lineage claims</t>
  </si>
  <si>
    <t xml:space="preserve">design justification for Task A + quilt-jepa</t>
  </si>
  <si>
    <t xml:space="preserve">claiming novelty where the frontier already agrees (or originality where it already converged)</t>
  </si>
  <si>
    <t xml:space="preserve">jev-garden/scouts/2026-09-28-living-jev-research.md JEPA row</t>
  </si>
  <si>
    <t xml:space="preserve">external-scouts-P05</t>
  </si>
  <si>
    <t xml:space="preserve">unexplored: JEPA at cell tempo</t>
  </si>
  <si>
    <t xml:space="preserve">What remains untouched: no fleet cell predicts in embedding space at cell tempo, and the ensemble/memory-prior hypothesis is unpaid — three honest FAILs say the current soil 'saturates too easily for memory-priors to pay' (P-G2d queued).</t>
  </si>
  <si>
    <t xml:space="preserve">current garden capabilities</t>
  </si>
  <si>
    <t xml:space="preserve">queued harder-world test (P-G2d)</t>
  </si>
  <si>
    <t xml:space="preserve">declaring parity with V-JEPA without a hard-world test</t>
  </si>
  <si>
    <t xml:space="preserve">jev-garden/scouts/2026-09-28-living-jev-research.md 'Where we are ahead / behind' (three honest FAILs, P-G2d queued)</t>
  </si>
  <si>
    <t xml:space="preserve">external-scouts-P06</t>
  </si>
  <si>
    <t xml:space="preserve">TTT lineage claims</t>
  </si>
  <si>
    <t xml:space="preserve">TTT-E2E 'retrains model... at inference time' via meta-learning ('the model learns how to learn from input provided at inference time', charonhub); Buffer layers: 'a lightweight parallel module that adapts at inference while keeping the backbone frozen' (openreview, cited by 7); 'TTT with KV binding... is commonly interpreted as a form of online meta-learning' (alphaxiv).</t>
  </si>
  <si>
    <t xml:space="preserve">the living-model research line</t>
  </si>
  <si>
    <t xml:space="preserve">conflating TTT layers with full-model retraining</t>
  </si>
  <si>
    <t xml:space="preserve">jev-garden/scouts/raw/test-time_training_layer.json ranks 1, 2, 4</t>
  </si>
  <si>
    <t xml:space="preserve">external-scouts-P07</t>
  </si>
  <si>
    <t xml:space="preserve">borrowed: idle-compile as regime</t>
  </si>
  <si>
    <t xml:space="preserve">What the fleet took: TTT/TTA 'legitimizes idle-time compilation as a training regime, not a compromise. The weave artifact = the compiled adaptation' — the garden's watch-&gt;deform-&gt;observe-&gt;idle-compile loop is the system-level analogue of a buffer layer.</t>
  </si>
  <si>
    <t xml:space="preserve">TTT claims</t>
  </si>
  <si>
    <t xml:space="preserve">justification for the weaver's idle-compile stage</t>
  </si>
  <si>
    <t xml:space="preserve">apologizing for idle-compile as second-class training</t>
  </si>
  <si>
    <t xml:space="preserve">jev-garden/scouts/2026-09-28-living-jev-research.md TTT row + synthesis point 2</t>
  </si>
  <si>
    <t xml:space="preserve">external-scouts-P08</t>
  </si>
  <si>
    <t xml:space="preserve">unexplored: in-forward vs amortized</t>
  </si>
  <si>
    <t xml:space="preserve">What remains untouched: the garden never does gradient steps in the serving path — the untested claim is whether idle-amortized compilation matches in-forward adaptation on the garden's receipt stream, and at what cadence compile should re-run.</t>
  </si>
  <si>
    <t xml:space="preserve">weave compile cadence</t>
  </si>
  <si>
    <t xml:space="preserve">open amortization question</t>
  </si>
  <si>
    <t xml:space="preserve">assuming equivalence without a queued experiment</t>
  </si>
  <si>
    <t xml:space="preserve">jev-garden/scouts/2026-09-28-living-jev-research.md TTT row ('same amortization goal' — equivalence asserted, not measured)</t>
  </si>
  <si>
    <t xml:space="preserve">external-scouts-P09</t>
  </si>
  <si>
    <t xml:space="preserve">distillation lineage claims</t>
  </si>
  <si>
    <t xml:space="preserve">Teacher-&gt;student at scale: 'Teacher = large model (Qwen3-VL-235B-A22B); Student = small model (Qwen3-VL-2B)' (dev.to); 'Distilling LLM Agent into Small Models with Retrieval' toward on-device small language agents (openreview, cited by 44); knowledge graphs as 'structured, auditable repositories... verification signals' (ssrn).</t>
  </si>
  <si>
    <t xml:space="preserve">the small-validator research line</t>
  </si>
  <si>
    <t xml:space="preserve">distilling into students with no auditable verification signal</t>
  </si>
  <si>
    <t xml:space="preserve">jev-garden/scouts/raw/knowledge_distillation_L.json ranks 1, 3, 5</t>
  </si>
  <si>
    <t xml:space="preserve">external-scouts-P10</t>
  </si>
  <si>
    <t xml:space="preserve">borrowed: the escalation organ</t>
  </si>
  <si>
    <t xml:space="preserve">What the fleet took: 'The teacher-&gt;student pattern behind the escalation organ: hosted JEV labels escalate; idle compile distills into the local weave. The garden implements the loop with usage receipts (pricing-first)' — local judgment 0.056ms vs escalated 283ms, both receipted.</t>
  </si>
  <si>
    <t xml:space="preserve">distillation claims</t>
  </si>
  <si>
    <t xml:space="preserve">escalation organ: local judge -&gt; hosted labeler -&gt; idle distill</t>
  </si>
  <si>
    <t xml:space="preserve">every escalation carries a usage receipt (pricing-first)</t>
  </si>
  <si>
    <t xml:space="preserve">unmetered escalation to the hosted teacher</t>
  </si>
  <si>
    <t xml:space="preserve">jev-garden/scouts/2026-09-28-living-jev-research.md distillation row + synthesis point 3 (0.056ms / 283ms figures)</t>
  </si>
  <si>
    <t xml:space="preserve">external-scouts-P11</t>
  </si>
  <si>
    <t xml:space="preserve">unexplored: second-generation distill</t>
  </si>
  <si>
    <t xml:space="preserve">What remains untouched: distillation quality against the garden's hashed-head baseline is unresolved (the qthe arm lost the bake-off), and no student-of-the-student (second-generation) distill has been measured on the receipt stream.</t>
  </si>
  <si>
    <t xml:space="preserve">bake-off results</t>
  </si>
  <si>
    <t xml:space="preserve">open distillation-quality question</t>
  </si>
  <si>
    <t xml:space="preserve">assuming the distilled student beats the cheap head it lost to</t>
  </si>
  <si>
    <t xml:space="preserve">jev-garden/scouts/2026-09-28-living-jev-research.md synthesis point 1 ('lost to the hashed head — the honest bake-off verdict')</t>
  </si>
  <si>
    <t xml:space="preserve">external-scouts-P12</t>
  </si>
  <si>
    <t xml:space="preserve">HDC lineage claims</t>
  </si>
  <si>
    <t xml:space="preserve">THDC: 'Hyperdimensional computing (HDC) offers lightweight learning for energy-constrained devices by encoding data into high-dimensional vectors' (arxiv 2602.00116, Jan 2026); ACM survey on HDC/VSA; 'HD/VSA do not rely on backpropagation' (hd-computing.com); IBM NeuroVSA: 'information is superposed... Learning is incremental and fast'.</t>
  </si>
  <si>
    <t xml:space="preserve">the gradient-free representation line</t>
  </si>
  <si>
    <t xml:space="preserve">overselling HDC as a general replacement for neural nets</t>
  </si>
  <si>
    <t xml:space="preserve">jev-garden/scouts/raw/hyperdimensional_computi.json ranks 0, 2, 3, 5</t>
  </si>
  <si>
    <t xml:space="preserve">external-scouts-P13</t>
  </si>
  <si>
    <t xml:space="preserve">borrowed: qthe as QTHE-flavored HDC</t>
  </si>
  <si>
    <t xml:space="preserve">What the fleet took: 'The garden's qthe arm is a QTHE-flavored HDC substrate; THDC justifies training-free prototype growth as a first-class method, not a hack' — growth by accumulation instead of gradient descent, exactly what a receipt-fed living model can do at quilt tempo.</t>
  </si>
  <si>
    <t xml:space="preserve">HDC claims</t>
  </si>
  <si>
    <t xml:space="preserve">justification for qthe's accumulate-don't-train representation</t>
  </si>
  <si>
    <t xml:space="preserve">treating gradient-free growth as a hack needing apology</t>
  </si>
  <si>
    <t xml:space="preserve">jev-garden/scouts/2026-09-28-living-jev-research.md HDC row + synthesis point 1</t>
  </si>
  <si>
    <t xml:space="preserve">external-scouts-P14</t>
  </si>
  <si>
    <t xml:space="preserve">unexplored: VSA-native receipt features</t>
  </si>
  <si>
    <t xml:space="preserve">What remains untouched: the garden's 16-dim 'native' fingerprint is hand-rolled, not VSA-native — bundling/binding ops are not yet applied to receipt-chain features, so the structural index does not yet use the machinery it cites.</t>
  </si>
  <si>
    <t xml:space="preserve">receipt chain structure</t>
  </si>
  <si>
    <t xml:space="preserve">open VSA-feature question</t>
  </si>
  <si>
    <t xml:space="preserve">citing VSA while indexing with ad-hoc fingerprints</t>
  </si>
  <si>
    <t xml:space="preserve">jev-garden/scouts/2026-09-28-living-jev-research.md HDC row; tidepool README 'native is an optional 16-number domain fingerprint' (si-fleet) shows the hand-rolled state</t>
  </si>
  <si>
    <t xml:space="preserve">external-scouts-P15</t>
  </si>
  <si>
    <t xml:space="preserve">the junk channel receipt</t>
  </si>
  <si>
    <t xml:space="preserve">continual_learning_from_.json archived 5 results and none are about continual learning: a Toyota production-system slide deck, a 2009 SVN dictionary diff, de Morga's 'History of the Philippine Islands', OSRS Swift-gloves, a RichFaces commit — the query phrasing failed, second time on that channel, and the junk is kept as a receipt.</t>
  </si>
  <si>
    <t xml:space="preserve">continual-learning query</t>
  </si>
  <si>
    <t xml:space="preserve">a receipted dud, not a silent gap</t>
  </si>
  <si>
    <t xml:space="preserve">junk results are receipted and named in the report, never silently dropped</t>
  </si>
  <si>
    <t xml:space="preserve">query-phrasing drift poisoning the scout lane invisibly (exactly what receipting prevents)</t>
  </si>
  <si>
    <t xml:space="preserve">jev-garden/scouts/raw/continual_learning_from_.json (5 junk results as read); scout report header 'the continual-learning phrasing returned junk — receipted, 2nd time that channel is weak'</t>
  </si>
  <si>
    <t xml:space="preserve">external-scouts-P16</t>
  </si>
  <si>
    <t xml:space="preserve">borrowed: nothing — the novel part</t>
  </si>
  <si>
    <t xml:space="preserve">The consequence of the dud: 'Growth-from-usage: (junk receipted) — No crisp external reference found — this is the part we're building novel, with pre-registered claims instead of citations' — the only garden pillar whose justification is prospective rather than borrowed.</t>
  </si>
  <si>
    <t xml:space="preserve">empty external anchor</t>
  </si>
  <si>
    <t xml:space="preserve">pre-registered novelty claim (P-G1(b) style)</t>
  </si>
  <si>
    <t xml:space="preserve">an unanchored pillar must carry pre-registered claims, not borrowed citations</t>
  </si>
  <si>
    <t xml:space="preserve">backfilling fake citations for the novel part</t>
  </si>
  <si>
    <t xml:space="preserve">jev-garden/scouts/2026-09-28-living-jev-research.md growth-from-usage row</t>
  </si>
  <si>
    <t xml:space="preserve">external-scouts-P17</t>
  </si>
  <si>
    <t xml:space="preserve">the honest ahead/behind interface</t>
  </si>
  <si>
    <t xml:space="preserve">The scout report ends with an ahead/behind section stated plainly: ahead on provenance-grade training data (the growth journal IS the field, hash-chained), determinism crown (P-G5 byte-identical cross-substrate), judgment lifecycle law; behind on scale ('1418 rows is a windowsill, not a greenhouse') and on the ensemble hypothesis (three honest FAILs).</t>
  </si>
  <si>
    <t xml:space="preserve">synthesis + bake-off history</t>
  </si>
  <si>
    <t xml:space="preserve">a self-assessment a stranger can check</t>
  </si>
  <si>
    <t xml:space="preserve">scout reports that only flatter the design they serve</t>
  </si>
  <si>
    <t xml:space="preserve">jev-garden/scouts/2026-09-28-living-jev-research.md 'Where we are ahead / behind (honest)' section</t>
  </si>
  <si>
    <t xml:space="preserve">Gates the jevs swept (401 gates, rules pre-registered)</t>
  </si>
  <si>
    <t xml:space="preserve">sweep_verdict</t>
  </si>
  <si>
    <t xml:space="preserve">OPEN</t>
  </si>
  <si>
    <t xml:space="preserve">Core ideas, decomposed (145 ideas)</t>
  </si>
  <si>
    <t xml:space="preserve">idea_id</t>
  </si>
  <si>
    <t xml:space="preserve">statement</t>
  </si>
  <si>
    <t xml:space="preserve">decomposed_into_parts</t>
  </si>
  <si>
    <t xml:space="preserve">qthe-I1</t>
  </si>
  <si>
    <t xml:space="preserve">The packed byte primitive (data is geometry, control is physics)</t>
  </si>
  <si>
    <t xml:space="preserve">A single byte splits into two planes: 6 bits of spatial amplitude d in [0,63] and 2 bits of timbre tau over {Ground, Attract, Repel, Abstain}, with the operator map Psi = [0, +1, -1, 'i'] and an exact split-channel vector pass — no floats anywhere in LAYER 0.</t>
  </si>
  <si>
    <t xml:space="preserve">qthe-P01, qthe-P02, qthe-P03, qthe-P04</t>
  </si>
  <si>
    <t xml:space="preserve">qthe-I2</t>
  </si>
  <si>
    <t xml:space="preserve">The 64-slot wormhole table as compile-time blueprint</t>
  </si>
  <si>
    <t xml:space="preserve">Abstain cells read/write a fixed 64-slot table: a twin hit on a different (x,y) with nonzero resonance injects resonance*sigma into the pressure (the imaginary channel entering through the only free degree of freedom), writes are last-writer-wins, and nobody resonates with their own write.</t>
  </si>
  <si>
    <t xml:space="preserve">qthe-P05, qthe-P06, qthe-P07, qthe-P08</t>
  </si>
  <si>
    <t xml:space="preserve">qthe-I3</t>
  </si>
  <si>
    <t xml:space="preserve">Deterministic Moore-8 tick with frozen timbre</t>
  </si>
  <si>
    <t xml:space="preserve">One synchronous, toroidal, double-buffered tick: neighbors read from the pre-tick snapshot, Attract/Repel accumulate signed d into pressure, data moves by a pure saturation rule toward 63 or 0, and tau never changes inside tick — same substrate plus same tick count is byte-identical, always.</t>
  </si>
  <si>
    <t xml:space="preserve">qthe-P09, qthe-P10, qthe-P11, qthe-P12, qthe-P13, qthe-P14, qthe-P16</t>
  </si>
  <si>
    <t xml:space="preserve">qthe-I4</t>
  </si>
  <si>
    <t xml:space="preserve">Pre-registered gates and stone receipts with honest failure</t>
  </si>
  <si>
    <t xml:space="preserve">Every gate's prediction is written before the run, observed numbers seal into a stone-v1 chain, a wrong prediction (G4's hand-arithmetic error) is kept forever by letter with the correction checked post-hoc, and an independent two-reader proves the chain fails closed at the tampered row.</t>
  </si>
  <si>
    <t xml:space="preserve">qthe-P17, qthe-P18, qthe-P19, qthe-P20</t>
  </si>
  <si>
    <t xml:space="preserve">quilt-jepa-I1</t>
  </si>
  <si>
    <t xml:space="preserve">The grid IS the latent space</t>
  </si>
  <si>
    <t xml:space="preserve">Each of the 16x16 cells holds its own 4-dim latent; a per-cell context encoder Wc and predictor Wp learn to predict the cell's own latent future against an EMA target encoder (tau, stop-gradient) — no pixel reconstruction anywhere.</t>
  </si>
  <si>
    <t xml:space="preserve">quilt-jepa-P03, quilt-jepa-P04, quilt-jepa-P05, quilt-jepa-P06, quilt-jepa-P07</t>
  </si>
  <si>
    <t xml:space="preserve">quilt-jepa-I2</t>
  </si>
  <si>
    <t xml:space="preserve">Conservation-law surprise mesh</t>
  </si>
  <si>
    <t xml:space="preserve">A double-buffered Perona-Malik anisotropic diffusion (lambda=0.2 &lt;= 0.25 stability bound) moves prediction-surprise across the mesh as pairwise symmetric exchange: energy is never minted nor destroyed and variance contracts.</t>
  </si>
  <si>
    <t xml:space="preserve">quilt-jepa-P09, quilt-jepa-P10, quilt-jepa-P11, quilt-jepa-P12</t>
  </si>
  <si>
    <t xml:space="preserve">quilt-jepa-I3</t>
  </si>
  <si>
    <t xml:space="preserve">Determinism as the foundation of every claim</t>
  </si>
  <si>
    <t xml:space="preserve">The world is xorshift32-seeded with no Math.random, so twin runs are byte-identical; every experiment is registered and sealed BEFORE the run, the run re-verifies the seal at startup fail-closed, and a stone chain + verifier make tampering loud.</t>
  </si>
  <si>
    <t xml:space="preserve">quilt-jepa-P01, quilt-jepa-P13, quilt-jepa-P14, quilt-jepa-P15</t>
  </si>
  <si>
    <t xml:space="preserve">quilt-jepa-I4</t>
  </si>
  <si>
    <t xml:space="preserve">Bit-exact claim re-binding across the depth ladder</t>
  </si>
  <si>
    <t xml:space="preserve">Rounds 4..10 form a ladder where every carried metric must re-bind bit-exactly (run4 29/29, run5 92/92, cross-round metric shas) while only new claims are measured fresh — concentration statistics, not global means (design law (b)) — and honest FAILs (DOSE10, SAT10, DIP10) are carried as verdicts, not hidden.</t>
  </si>
  <si>
    <t xml:space="preserve">quilt-jepa-P16, quilt-jepa-P17, quilt-jepa-P18</t>
  </si>
  <si>
    <t xml:space="preserve">jev-quilt-I1</t>
  </si>
  <si>
    <t xml:space="preserve">Identity never floats</t>
  </si>
  <si>
    <t xml:space="preserve">A cell is identified by integer quilt coordinates (k, s) plus declared type; values that are identities use the exact Q16 rational codec (num:int64, den:int64, always coprime) and floats are display-only projections — from_float refuses anything not representable rather than silently rounding.</t>
  </si>
  <si>
    <t xml:space="preserve">jev-quilt-P01, jev-quilt-P05, jev-quilt-P06</t>
  </si>
  <si>
    <t xml:space="preserve">jev-quilt-I2</t>
  </si>
  <si>
    <t xml:space="preserve">Hooks eat deltas, not values</t>
  </si>
  <si>
    <t xml:space="preserve">A cell subscribes to a sibling's CHANGE (never a polled value): deltas below the hook's deadband floor are silent, a when-predicate can decline deltas whose shape isn't the hook's, and a broken predicate must never silence the fabric — every wake or silence is logged as a WakeResult.</t>
  </si>
  <si>
    <t xml:space="preserve">jev-quilt-P02, jev-quilt-P07, jev-quilt-P08, jev-quilt-P09, jev-quilt-P10</t>
  </si>
  <si>
    <t xml:space="preserve">jev-quilt-I3</t>
  </si>
  <si>
    <t xml:space="preserve">Decide in one pass, project elsewhere; viability is binary</t>
  </si>
  <si>
    <t xml:space="preserve">The decider never renders and the renderer never decides (Law 3): a decision passes a binary confidence floor before it may project (Law 5); below the floor the outcome is booked as REJECTED, never projected, and a predictor pre-commits its feeling so the receipt binds feeling and fact in one hash.</t>
  </si>
  <si>
    <t xml:space="preserve">jev-quilt-P03, jev-quilt-P04, jev-quilt-P11, jev-quilt-P12</t>
  </si>
  <si>
    <t xml:space="preserve">jev-quilt-I4</t>
  </si>
  <si>
    <t xml:space="preserve">Every state change is booked (replay = live)</t>
  </si>
  <si>
    <t xml:space="preserve">Each cell carries an append-only WAL of hash-chained receipts; wake = replay the book first, then decide; receipts are fnv1a-64 over UTF-8 bytes so a Rust receipt and a Python receipt for the same residue agree, decision-bearing fields are typed and uncapped (G20a), and book() raises rather than rounds what it cannot carry exactly.</t>
  </si>
  <si>
    <t xml:space="preserve">jev-quilt-P13, jev-quilt-P14, jev-quilt-P15, jev-quilt-P16, jev-quilt-P17, jev-quilt-P18</t>
  </si>
  <si>
    <t xml:space="preserve">jev-quilt-I5</t>
  </si>
  <si>
    <t xml:space="preserve">Exactness-first backend ladder</t>
  </si>
  <si>
    <t xml:space="preserve">Backends resolve auto -&gt; q16 (deterministic, always available) -&gt; openjev-local -&gt; typesafe-api (only if a key exists): cloud is last, exactness is first; cells without bookkeeping still decide but honestly forget (NullBookkeeper).</t>
  </si>
  <si>
    <t xml:space="preserve">jev-quilt-P13, jev-quilt-P19, jev-quilt-P20</t>
  </si>
  <si>
    <t xml:space="preserve">quilt-qcells-I1</t>
  </si>
  <si>
    <t xml:space="preserve">The ledger is the circuit</t>
  </si>
  <si>
    <t xml:space="preserve">A CellCircuit wraps a micromoth QuantumCircuit; every primitive op appended emits a cell row derived from the wrapped circuit's actual data tuples, and the ledger alone replays to a byte-faithful QuantumCircuit that simulate() treats identically (P1, 16/16).</t>
  </si>
  <si>
    <t xml:space="preserve">quilt-qcells-P07, quilt-qcells-P17, quilt-qcells-P18</t>
  </si>
  <si>
    <t xml:space="preserve">quilt-qcells-I2</t>
  </si>
  <si>
    <t xml:space="preserve">One canonical fnv1a-64 chain from genesis</t>
  </si>
  <si>
    <t xml:space="preserve">Rows are canonical JSON {seq, op, kind, args, prev} with id = fnv1a-64 over the id-less body; a single linear chain runs over ALL rows regardless of opcode (the only reading that satisfies both pinned linkage laws), rooted at prev 0x0000000000000000.</t>
  </si>
  <si>
    <t xml:space="preserve">quilt-qcells-P02, quilt-qcells-P03, quilt-qcells-P04, quilt-qcells-P05</t>
  </si>
  <si>
    <t xml:space="preserve">quilt-qcells-I3</t>
  </si>
  <si>
    <t xml:space="preserve">Fail-closed verification with an out-of-band anchor</t>
  </si>
  <si>
    <t xml:space="preserve">verify_ledger re-derives the chain from genesis and returns the FIRST violated row (any single-byte tamper of 4254 possible localizes exactly), while check_anchor enforces the honestly-declared limit: a hash chain alone cannot see tail truncation or well-formed extension — the published (tip, rows) pair can.</t>
  </si>
  <si>
    <t xml:space="preserve">quilt-qcells-P15, quilt-qcells-P16, quilt-qcells-P21</t>
  </si>
  <si>
    <t xml:space="preserve">quilt-qcells-I4</t>
  </si>
  <si>
    <t xml:space="preserve">Honest semantics for events, erasure and unsealed holes</t>
  </si>
  <si>
    <t xml:space="preserve">The readout/collapse split is receipted (micromoth's 'm' records wiring, it does not collapse), FORGET is a tombstone APPEND that never edits the chain, seed-less sampling is minted EFFECT/UNSEALED and excluded from every determinism claim, and unsealed disagreement is itself a proven negative control.</t>
  </si>
  <si>
    <t xml:space="preserve">quilt-qcells-P09, quilt-qcells-P10, quilt-qcells-P13, quilt-qcells-P14</t>
  </si>
  <si>
    <t xml:space="preserve">quilt-qcells-I5</t>
  </si>
  <si>
    <t xml:space="preserve">Sealed claims P1-P4 with negative controls</t>
  </si>
  <si>
    <t xml:space="preserve">Claims were registered with sha256+mtime+size seals BEFORE runs; every run re-verifies the seals and refuses on stale ones; five negative controls (forged tail, dropped middle row, truncated tail, re-forged chain, unsealed hole) prove what the machinery does NOT detect — and the anchors catch it.</t>
  </si>
  <si>
    <t xml:space="preserve">quilt-qcells-P19, quilt-qcells-P20, quilt-qcells-P06, quilt-qcells-P08, quilt-qcells-P11, quilt-qcells-P12</t>
  </si>
  <si>
    <t xml:space="preserve">jev-garden-I1</t>
  </si>
  <si>
    <t xml:space="preserve">Kinda-both organism (rhizome + vessel head)</t>
  </si>
  <si>
    <t xml:space="preserve">A non-parametric ExoJ rhizome (deformation memory that grows from every judgment) AND a tiny parametric head (deterministic torch-free SGD / qthe prototype growth) on identical soil; the ensemble lambda=0.5 prices the 'kinda both' claim — and the honest verdict of record is that the parametric tissue wins on saturated soil (P-G2/b/c all FAIL).</t>
  </si>
  <si>
    <t xml:space="preserve">jev-garden-P01, jev-garden-P02, jev-garden-P03, jev-garden-P04, jev-garden-P05, jev-garden-P06, jev-garden-P07, jev-garden-P08, jev-garden-P10, jev-garden-P11, jev-garden-P13</t>
  </si>
  <si>
    <t xml:space="preserve">jev-garden-I2</t>
  </si>
  <si>
    <t xml:space="preserve">Idle-time compile (the weaver)</t>
  </si>
  <si>
    <t xml:space="preserve">Idle compute diffs the growth journal, trains challenger heads, runs the jeviter promotion gate, and emits a byte-deterministic weave artifact chain-tipped to the journal — amortising the field's accumulated understanding into the next inference (weave-v2 rides the rhizome sense table).</t>
  </si>
  <si>
    <t xml:space="preserve">jev-garden-P09, jev-garden-P14, jev-garden-P15, jev-garden-P16, jev-garden-P17, jev-garden-P18</t>
  </si>
  <si>
    <t xml:space="preserve">jev-garden-I3</t>
  </si>
  <si>
    <t xml:space="preserve">Serve + escalation economy</t>
  </si>
  <si>
    <t xml:space="preserve">A local JEV endpoint speaking the TypeSafe systemone wire; low-confidence judgments carry escalate=true; the budget-capped escalation organ routes them to the hosted teacher whose answer becomes an observation — the garden grows from every escalation, and gifted compute leaves usage receipts.</t>
  </si>
  <si>
    <t xml:space="preserve">jev-garden-P19, jev-garden-P20, jev-garden-P21, jev-garden-P22, jev-garden-P23</t>
  </si>
  <si>
    <t xml:space="preserve">jev-garden-I4</t>
  </si>
  <si>
    <t xml:space="preserve">Real soil + sealed discipline</t>
  </si>
  <si>
    <t xml:space="preserve">First duty is receipt-chain validation over real quilt-qcells CELL-MAPPING ledgers (16 ledgers, 1418 rows, 7 opcodes) with concentration-statistic anomaly detection (design law (b)); every constant and prediction is sha256-sealed in registration.json before the run, fail-closed.</t>
  </si>
  <si>
    <t xml:space="preserve">jev-garden-P12, jev-garden-P24, jev-garden-P25, jev-garden-P26</t>
  </si>
  <si>
    <t xml:space="preserve">jeviter-I1</t>
  </si>
  <si>
    <t xml:space="preserve">Rest and react, don't poll</t>
  </si>
  <si>
    <t xml:space="preserve">Replace `for (event of stream)` with an iterator that pulls until the stream's KL gain surprises a sliding boundary belief, then yields once — an agent stops burning context on repetition; the first pull only seeds the belief (no belief, no refusal).</t>
  </si>
  <si>
    <t xml:space="preserve">jeviter-P03, jeviter-P04, jeviter-P05, jeviter-P06, jeviter-P07, jeviter-P08, jeviter-P10, jeviter-P11, jeviter-P12</t>
  </si>
  <si>
    <t xml:space="preserve">jeviter-I2</t>
  </si>
  <si>
    <t xml:space="preserve">Every silence is booked</t>
  </si>
  <si>
    <t xml:space="preserve">A silenced pull writes a hash-chained receipt — a silence you cannot audit is indistinguishable from a hang; scanLedger turns a ledger into a named reading (TAMPER / EMPTY / QUIET / ALIVE), and the chain basis is pinned to the fleet café vector so receipts cross-verify across repos.</t>
  </si>
  <si>
    <t xml:space="preserve">jeviter-P01, jeviter-P02, jeviter-P09, jeviter-P13</t>
  </si>
  <si>
    <t xml:space="preserve">jeviter-I3</t>
  </si>
  <si>
    <t xml:space="preserve">The ratchet (living threshold as armor)</t>
  </si>
  <si>
    <t xml:space="preserve">The threshold is mean + k·σ over ADMITTED gains, so a world oscillating at any fixed amplitude is silenced after exactly one admission — adversarial resonance is impossible by construction; Throttle sheds familiar calls, MergeGovernor rests the queue for a fixed length, and the EWMA variant restores the descent path when admissions starve.</t>
  </si>
  <si>
    <t xml:space="preserve">jeviter-P14, jeviter-P15, jeviter-P16, jeviter-P17</t>
  </si>
  <si>
    <t xml:space="preserve">jeviter-I4</t>
  </si>
  <si>
    <t xml:space="preserve">Lifecycle organs (distill + dream)</t>
  </si>
  <si>
    <t xml:space="preserve">The same gate machinery compiles judgment over time: the vibe-to-spec distiller pins only cited, novel, well-formed lessons (repeats book silence; malformed input refuses with a receipt, never throws), and dreaming consolidates old WAL rows into summaries with originals relocated, never deleted.</t>
  </si>
  <si>
    <t xml:space="preserve">jeviter-P18, jeviter-P19, jeviter-P20, jeviter-P21, jeviter-P22</t>
  </si>
  <si>
    <t xml:space="preserve">jeviter-I5</t>
  </si>
  <si>
    <t xml:space="preserve">Surfaces (CLI, TUI, MCP)</t>
  </si>
  <si>
    <t xml:space="preserve">The iterator is reachable from anywhere: zero-dep CLI (tail/follow/scan/digest), an ANSI TUI that renders silences as data, and an MCP stdio server whose tools (jeviter_tail/next/throttle/ledger_verify) turn any client's poll into a rest.</t>
  </si>
  <si>
    <t xml:space="preserve">jeviter-P23, jeviter-P24</t>
  </si>
  <si>
    <t xml:space="preserve">exoj-I1</t>
  </si>
  <si>
    <t xml:space="preserve">Field is primary (the inversion)</t>
  </si>
  <si>
    <t xml:space="preserve">The primary object is a parallel relational field — cells on a hex lattice carrying soft amplitudes (gamma crystallisation, eta possibility, Delta creativity) — while every sequential presentation (the old CoT tape) is only a dependent projection (right Kan extension) of it; nothing sequential is ever forced.</t>
  </si>
  <si>
    <t xml:space="preserve">exoj-P01, exoj-P03, exoj-P08, exoj-P18, exoj-P24</t>
  </si>
  <si>
    <t xml:space="preserve">exoj-I2</t>
  </si>
  <si>
    <t xml:space="preserve">Soft writes, never tokens</t>
  </si>
  <si>
    <t xml:space="preserve">The JEV emits only soft vectorized progressions: the seed's Cell.softWrite is a convex order-dependent blend, and the crowned 'ledger' naturality policy (Cell.accumulate) makes writes a COMMUTATIVE multiset union with amplitudes aggregated purely at sense time — the wave stays open by construction.</t>
  </si>
  <si>
    <t xml:space="preserve">exoj-P04, exoj-P05, exoj-P06, exoj-P07, exoj-P11, exoj-P14</t>
  </si>
  <si>
    <t xml:space="preserve">exoj-I3</t>
  </si>
  <si>
    <t xml:space="preserve">Observation is a recorded local act</t>
  </si>
  <si>
    <t xml:space="preserve">observe() is the ONLY collapse: it zeroes the target cell's prob_mass and pins a definite Delta override — neighbours and distant loci stay fully open (PoC 3: target 0, neighbour 1, distant 1); attending and projecting deform nothing.</t>
  </si>
  <si>
    <t xml:space="preserve">exoj-P10, exoj-P15, exoj-P19</t>
  </si>
  <si>
    <t xml:space="preserve">exoj-I4</t>
  </si>
  <si>
    <t xml:space="preserve">The field is the proof object</t>
  </si>
  <si>
    <t xml:space="preserve">Every event — attend, deform, refuse, observe, program_attach — is content-addressed (sha256 over canonical JSON, chained prev-hash from EXOJ-GENESIS); verifyChain replays in memory AND from the saved file, so the field itself is the objective proof object; refusals are counted and chained, never silent.</t>
  </si>
  <si>
    <t xml:space="preserve">exoj-P02, exoj-P09, exoj-P13, exoj-P22, exoj-P25, exoj-P26</t>
  </si>
  <si>
    <t xml:space="preserve">exoj-I5</t>
  </si>
  <si>
    <t xml:space="preserve">Quilt projection, programs, donnable shell</t>
  </si>
  <si>
    <t xml:space="preserve">The agent touches the field through a quilt projection (touched-cell snapshots), read-only 'show your work' projections per observer, temporal programs that fire on schedule independently of the linear algebra, and a donnable exoj-shell-v1 save/load that round-trips the raw cell state plus the whole chain.</t>
  </si>
  <si>
    <t xml:space="preserve">exoj-P16, exoj-P17, exoj-P19, exoj-P20, exoj-P21, exoj-P22</t>
  </si>
  <si>
    <t xml:space="preserve">fleet-seeds-I1</t>
  </si>
  <si>
    <t xml:space="preserve">Seed -&gt; repo -&gt; receipted experiment</t>
  </si>
  <si>
    <t xml:space="preserve">A question is cheapest to answer at the moment it is asked: one seed markdown dropped into the hopper germinates a fully-scaffolded repo in one deterministic step — charter embedded VERBATIM as the first commit (the question is the first receipt), so rigor never depends on the mood of whoever is planting.</t>
  </si>
  <si>
    <t xml:space="preserve">fleet-seeds-P01, fleet-seeds-P02, fleet-seeds-P06, fleet-seeds-P08, fleet-seeds-P09</t>
  </si>
  <si>
    <t xml:space="preserve">fleet-seeds-I2</t>
  </si>
  <si>
    <t xml:space="preserve">Rigor at birth, not retrofit</t>
  </si>
  <si>
    <t xml:space="preserve">Every spawned repo is born with CI that runs a REAL smoke on every push (the check count in the final line is the contract CI enforces) plus the house doctrine block — paired arms, decision rules before the run, counterfactual measurement, honest negatives, replayable smoke — so no fleet repo ever becomes 'a script with no receipt'.</t>
  </si>
  <si>
    <t xml:space="preserve">fleet-seeds-P03, fleet-seeds-P04, fleet-seeds-P05, fleet-seeds-P07</t>
  </si>
  <si>
    <t xml:space="preserve">fleet-seeds-I3</t>
  </si>
  <si>
    <t xml:space="preserve">Fleet memory institutions</t>
  </si>
  <si>
    <t xml:space="preserve">Beyond the seedbox, the repo keeps the fleet's append-only memory: the lode six-stage discovery loop (scout/extract/score/register/lane/fold — a mine becomes an experiment only when its falsifiable prediction is sealed), the Tap Tavern where every round is sealed with stone-v1, and registry.jsonl recording every pre-registered prediction set and its verdict.</t>
  </si>
  <si>
    <t xml:space="preserve">fleet-seeds-P11, fleet-seeds-P12, fleet-seeds-P13, fleet-seeds-P16</t>
  </si>
  <si>
    <t xml:space="preserve">fleet-seeds-I4</t>
  </si>
  <si>
    <t xml:space="preserve">Cross-chain evidence machinery</t>
  </si>
  <si>
    <t xml:space="preserve">The evidence layer reaches across chains: FLEET.md regenerates the 17-repo/27-edge quilt fold map, the wave-46 witness-roller walks EVERY chain the fleet owns and parents them into ONE witness chain verified by the UNMODIFIED wave-44 module, and the wave-45 tool battery audits byte-by-byte truncate resistance — all zero-dep, node:crypto only, offline only.</t>
  </si>
  <si>
    <t xml:space="preserve">fleet-seeds-P10, fleet-seeds-P14, fleet-seeds-P15</t>
  </si>
  <si>
    <t xml:space="preserve">quilt-murmur-I1</t>
  </si>
  <si>
    <t xml:space="preserve">murmur envelope + trust-weighted log-odds pooling</t>
  </si>
  <si>
    <t xml:space="preserve">Ambient gossip is a convention carried by cell values: {topic, from, p, n, ttl}; the bus pools log-odds weighted by sender-trust x evidence-mass, so a confident liar with low trust is outvoted by a hesitant truth-teller with high trust, and quarantine (zero influence) falls out for free at w=0.</t>
  </si>
  <si>
    <t xml:space="preserve">quilt-murmur-P01, quilt-murmur-P04, quilt-murmur-P06, quilt-murmur-P19</t>
  </si>
  <si>
    <t xml:space="preserve">quilt-murmur-I2</t>
  </si>
  <si>
    <t xml:space="preserve">trust as online learning, not hand-tuned scores</t>
  </si>
  <si>
    <t xml:space="preserve">Trust edges are Hedge multiplicative weights with fixed-share (Herbster-Warmuth): regret-bounded under regime flips, with entropy/leader readouts as the mesh's opinions, and echo convictions written back through absorb so penalties persist and re-earn through the normal update path.</t>
  </si>
  <si>
    <t xml:space="preserve">quilt-murmur-P05, quilt-murmur-P07, quilt-murmur-P13</t>
  </si>
  <si>
    <t xml:space="preserve">quilt-murmur-I3</t>
  </si>
  <si>
    <t xml:space="preserve">the protocol layer is the gate layer (v3/v3.1)</t>
  </si>
  <si>
    <t xml:space="preserve">Outcome-trust cannot see echoes; the protocol must. Provenance tags (relay/echo/dup/clean) re-price influence, edge-precedence + mirror guard attribute direction, fractional per-murmur attribution reacts instantly, and cold-start admission (age + independent edges + usefulness + aggregate capShare) plus the founder-velocity guard close the attack windows E17/E19/E21/E24/E27/E33/E35 left open.</t>
  </si>
  <si>
    <t xml:space="preserve">quilt-murmur-P08, quilt-murmur-P09, quilt-murmur-P10, quilt-murmur-P11, quilt-murmur-P12, quilt-murmur-P14, quilt-murmur-P15, quilt-murmur-P16, quilt-murmur-P17, quilt-murmur-P18, quilt-murmur-P24</t>
  </si>
  <si>
    <t xml:space="preserve">quilt-murmur-I4</t>
  </si>
  <si>
    <t xml:space="preserve">the evolutionary mesh: gardener, spreader, tree, resonance</t>
  </si>
  <si>
    <t xml:space="preserve">Thought is a copied cell family with a mutated seed; prune and graft are edits to thought; a meta-bandit gardener reads three scalars (order parameter r, trust entropy H, regret delta) and writes three scalars (temperature, prune floor, spawn budget) under a hard credit budget; subtree operators and structure-aware Kuramoto coupling open headroom node metrics lack.</t>
  </si>
  <si>
    <t xml:space="preserve">quilt-murmur-P20, quilt-murmur-P21, quilt-murmur-P22, quilt-murmur-P23</t>
  </si>
  <si>
    <t xml:space="preserve">quilt-murmur-I5</t>
  </si>
  <si>
    <t xml:space="preserve">substrate + evidence discipline</t>
  </si>
  <si>
    <t xml:space="preserve">Everything stands on three tiny substrates (the envelope, the fnv1a64 witness chain, the harvest-once entropy vault) and every claim carries a receipt: sheet pooling verified against reference math in-run (480/480, 200/200), full reruns bit-exact, honest nulls (resonance is not an accuracy meter) receipted like wins.</t>
  </si>
  <si>
    <t xml:space="preserve">quilt-murmur-P02, quilt-murmur-P03, quilt-murmur-P25, quilt-murmur-P26, quilt-murmur-P27, quilt-murmur-P28</t>
  </si>
  <si>
    <t xml:space="preserve">quilt-pincher-I1</t>
  </si>
  <si>
    <t xml:space="preserve">the whole reflex engine is a sheet of cells</t>
  </si>
  <si>
    <t xml:space="preserve">Every layer of the reflex arc is declared as a cell — pinch (formula), match (program), execute (program), veto (listener), compile (ai), store (vector_store) — so federation, subscription, audit and persistence are inherited from the cell runtime instead of rebuilt per engine.</t>
  </si>
  <si>
    <t xml:space="preserve">quilt-pincher-P01, quilt-pincher-P02, quilt-pincher-P13, quilt-pincher-P15</t>
  </si>
  <si>
    <t xml:space="preserve">quilt-pincher-I2</t>
  </si>
  <si>
    <t xml:space="preserve">three-tier escalation on match score</t>
  </si>
  <si>
    <t xml:space="preserve">One pinch, three clocks: score &gt;= 0.80 executes directly (&lt;50ms, no LLM), 0.55-0.80 executes through the confirm tier, below 0.55 with no match the SLOW tier compiles a new reflex via the LLM and stores it — the reflex database grows only at the moments the fast world fails.</t>
  </si>
  <si>
    <t xml:space="preserve">quilt-pincher-P05, quilt-pincher-P06, quilt-pincher-P09, quilt-pincher-P11, quilt-pincher-P12</t>
  </si>
  <si>
    <t xml:space="preserve">quilt-pincher-I3</t>
  </si>
  <si>
    <t xml:space="preserve">the veto is a cell-level gate, not an afterthought</t>
  </si>
  <si>
    <t xml:space="preserve">Before any execution — hit, confirm, or freshly compiled — the veto listener checks the pinch's safety hints (sandbox/network/filesystem) against the reflex's declared constraints; escalation of privilege is refused with a reason, and the refusal is a first-class result kind.</t>
  </si>
  <si>
    <t xml:space="preserve">quilt-pincher-P10, quilt-pincher-P07, quilt-pincher-P17</t>
  </si>
  <si>
    <t xml:space="preserve">quilt-pincher-I4</t>
  </si>
  <si>
    <t xml:space="preserve">confidence is earned economics for reflexes</t>
  </si>
  <si>
    <t xml:space="preserve">A reflex starts at confidence 0.5 and climbs logarithmically toward 0.99 with hits (0.5 + 0.49*log10(1+hits)); usage history (hits, lastHitAt) plus embedding make reflexes tensors with weight/gravity/distance — hot reflexes live near the agent, cold ones far.</t>
  </si>
  <si>
    <t xml:space="preserve">quilt-pincher-P08, quilt-pincher-P02, quilt-pincher-P03</t>
  </si>
  <si>
    <t xml:space="preserve">quilt-pincher-I5</t>
  </si>
  <si>
    <t xml:space="preserve">portable agent state: the .nail bundle</t>
  </si>
  <si>
    <t xml:space="preserve">The engine serializes to a content-addressed .nail (reflexes, veto rules, compile history, provenance) that an ESP32-class offline engine loads directly — the same sheet runs on cloud, workstation, and no_std edge, with LLM-dependent cells no-oping without keys.</t>
  </si>
  <si>
    <t xml:space="preserve">quilt-pincher-P14, quilt-pincher-P15, quilt-pincher-P18</t>
  </si>
  <si>
    <t xml:space="preserve">crab-traps-I1</t>
  </si>
  <si>
    <t xml:space="preserve">the lure pattern: make any chatbot do real API work</t>
  </si>
  <si>
    <t xml:space="preserve">A lure is a prompt that tricks a bot into navigating an HTTP-reachable system, reading state, and submitting structured data — web automation where the bot thinks it is exploring; the token cost lands on the bot owner, the data lands in the reef.</t>
  </si>
  <si>
    <t xml:space="preserve">crab-traps-P20, crab-traps-P18, crab-traps-P22</t>
  </si>
  <si>
    <t xml:space="preserve">crab-traps-I2</t>
  </si>
  <si>
    <t xml:space="preserve">chain-basis tamper traps (canonical-JSON seals)</t>
  </si>
  <si>
    <t xml:space="preserve">Every edge seals itself as sha256(canonical_json(edge minus its chain field)) and the next edge for that cell must carry the prior seal in `chain`; the relay is the sole sealing authority (it hands producers the head hash), verification walks the window recomputing every seal and every link and names the first break.</t>
  </si>
  <si>
    <t xml:space="preserve">crab-traps-P01, crab-traps-P02, crab-traps-P03, crab-traps-P05, crab-traps-P16, crab-traps-P17</t>
  </si>
  <si>
    <t xml:space="preserve">crab-traps-I3</t>
  </si>
  <si>
    <t xml:space="preserve">consent is the only door (the arena plaque)</t>
  </si>
  <si>
    <t xml:space="preserve">A nine-field disclosure plaque sealed with the edge-ledger's own canonicalJson; agents acknowledge by echoing the seal — no ack means the deterministic tarpit, never the arena; any wording change rotates the seal and revokes every ticket, so consent cannot be silently rewritten.</t>
  </si>
  <si>
    <t xml:space="preserve">crab-traps-P09, crab-traps-P10, crab-traps-P11, crab-traps-P22</t>
  </si>
  <si>
    <t xml:space="preserve">crab-traps-I4</t>
  </si>
  <si>
    <t xml:space="preserve">an honest economy on double-entry sealed edges</t>
  </si>
  <si>
    <t xml:space="preserve">A settled credit is a double-entry edge on arena.credits.&lt;player&gt; under the SAME relay contract: amounts strictly positive, kinds pre-priced in CREDIT_RATES (nothing earnable that was not priced before the fact), balance never negative, before + signed delta === after so a stranger recomputes the balance from the public stream alone.</t>
  </si>
  <si>
    <t xml:space="preserve">crab-traps-P12, crab-traps-P13, crab-traps-P08, crab-traps-P15</t>
  </si>
  <si>
    <t xml:space="preserve">crab-traps-I5</t>
  </si>
  <si>
    <t xml:space="preserve">the catch is the world (self-building reef + second reader)</t>
  </si>
  <si>
    <t xml:space="preserve">Catches mint the world (5th catch names an object from the players' own words, 12th spawns a provenance-linked room) idempotently; an independent second-reader walker, written from the law with zero shared code, re-derives stone-v1 chains and witness receipts so any tampered byte forces a DISAGREE.</t>
  </si>
  <si>
    <t xml:space="preserve">crab-traps-P14, crab-traps-P16, crab-traps-P17, crab-traps-P19</t>
  </si>
  <si>
    <t xml:space="preserve">quilt-organ-workers-I1</t>
  </si>
  <si>
    <t xml:space="preserve">content-addressed organ store</t>
  </si>
  <si>
    <t xml:space="preserve">The loader derives organ id = sha256hex(canonicalJSON(manifest)) SERVER-SIDE (the client cannot choose an id), serves immutable responses (ETag = id, Cache-Control immutable), treats identical re-upload as idempotent rather than conflict, and re-derives every commitment before declaring a stored organ bootable (src/organ-boot-loader/worker.js:8-11, 516-566, 594+).</t>
  </si>
  <si>
    <t xml:space="preserve">quilt-organ-workers-P01, quilt-organ-workers-P02, quilt-organ-workers-P03, quilt-organ-workers-P08</t>
  </si>
  <si>
    <t xml:space="preserve">quilt-organ-workers-I2</t>
  </si>
  <si>
    <t xml:space="preserve">dialect unification (L15)</t>
  </si>
  <si>
    <t xml:space="preserve">One registered schema string quilt.organ.manifest/v1 (schema/organ-manifest.v1.json) whose manifest body is the toolkit's law verbatim plus the registered whole-state commitment; legacy quilt.organ.v1 stays accepted with a x-quilt-schema-deprecated header during transition; /verify always reports which dialect a stored organ was served as; one shared fixture is validated by BOTH implementations through the exact production code paths (worker header comment :18-28, :49-51; scripts/validate-dialect.mjs).</t>
  </si>
  <si>
    <t xml:space="preserve">quilt-organ-workers-P04, quilt-organ-workers-P05, quilt-organ-workers-P06, quilt-organ-workers-P07, quilt-organ-workers-P09</t>
  </si>
  <si>
    <t xml:space="preserve">quilt-organ-workers-I3</t>
  </si>
  <si>
    <t xml:space="preserve">the watcher shares no code path with the watched</t>
  </si>
  <si>
    <t xml:space="preserve">organ-watcher (cron 0 * * * *, forceable via POST /check) independently re-derives every commitment from stored bytes — manifest digest == id, stateHash, receipt chain under the organ's own dialect law — because calling the loader's /verify from the same account is platform-blocked (same-account worker→worker fetch on *.workers.dev gets error-1042-class 404, receipted in receipts/ORGAN-WATCHER.md); drift findings are recorded and never deleted (src/organ-watcher/worker.js:7-31).</t>
  </si>
  <si>
    <t xml:space="preserve">quilt-organ-workers-P10, quilt-organ-workers-P11, quilt-organ-workers-P12</t>
  </si>
  <si>
    <t xml:space="preserve">quilt-organ-workers-I4</t>
  </si>
  <si>
    <t xml:space="preserve">score-first judge relay</t>
  </si>
  <si>
    <t xml:space="preserve">judge-relay fans a candidate out to up to 8 judge models on DeepInfra's OpenAI-compatible endpoint under a fixed scoring contract (verdict's FIRST line must be 'SCORE: &lt;n&gt;/10' so tiny token budgets still parse), returns raw verdict text beside parsed scores, and aggregates mean/min/max/spread (src/judge-relay/worker.js:23-26, 48-51, 212-226).</t>
  </si>
  <si>
    <t xml:space="preserve">quilt-organ-workers-P13, quilt-organ-workers-P14</t>
  </si>
  <si>
    <t xml:space="preserve">quilt-jev-toolkit-I1</t>
  </si>
  <si>
    <t xml:space="preserve">custody bundle as content-addressed claim</t>
  </si>
  <si>
    <t xml:space="preserve">A bundle {manifest, state, receipts} is exactly the bytes needed to prove its own custody: snapshots are addressed by sha256 of canonicalized state plus the receipt-chain range; manifestHash self-covers the manifest minus itself; a snapshot that cannot recompute its own hashes is not a snapshot (spec §2 I1, §3).</t>
  </si>
  <si>
    <t xml:space="preserve">quilt-jev-toolkit-P01, quilt-jev-toolkit-P02, quilt-jev-toolkit-P03, quilt-jev-toolkit-P04</t>
  </si>
  <si>
    <t xml:space="preserve">quilt-jev-toolkit-I2</t>
  </si>
  <si>
    <t xml:space="preserve">the boot courtroom</t>
  </si>
  <si>
    <t xml:space="preserve">Boot is a courtroom where the custody claim is proven or thrown out: manifest law → carried state hashes → chain verify → custody anchor → replay == carried state, and boot never partially succeeds — the organ instance is constructed only after every check passes (spec §4). REPLAY_DIVERGENCE is the invariant that catches forgeries that re-hash themselves.</t>
  </si>
  <si>
    <t xml:space="preserve">quilt-jev-toolkit-P05, quilt-jev-toolkit-P06, quilt-jev-toolkit-P07, quilt-jev-toolkit-P08</t>
  </si>
  <si>
    <t xml:space="preserve">quilt-jev-toolkit-I3</t>
  </si>
  <si>
    <t xml:space="preserve">the rewind family + all-or-nothing transactions</t>
  </si>
  <si>
    <t xml:space="preserve">stateAt (pure time-travel with provenance), rewind (bundle = pure view; organ = custody-continuous truncation then continuation on the same hash chain), transact (PREPARE on detached copies against post-op state, COMMIT materializes once and self-verifies) — and a rewind does not erase: the host appends an evidence-carrying organ.rewind receipt that revokes credits, double-entry applied backwards (spec §7).</t>
  </si>
  <si>
    <t xml:space="preserve">quilt-jev-toolkit-P09, quilt-jev-toolkit-P10, quilt-jev-toolkit-P11, quilt-jev-toolkit-P12</t>
  </si>
  <si>
    <t xml:space="preserve">quilt-jev-toolkit-I4</t>
  </si>
  <si>
    <t xml:space="preserve">nesting envelope + double-entry law</t>
  </si>
  <si>
    <t xml:space="preserve">A nested organ keeps its own unbroken hash chain while the host ledger receives credit receipts pointing at organ debits; every post-nest debit has exactly one live host credit and every credit resolves to a real debit whose replayed hash matches — verifyDoubleEntry reports fail-closed, never auto-repairs (spec §5).</t>
  </si>
  <si>
    <t xml:space="preserve">quilt-jev-toolkit-P13, quilt-jev-toolkit-P14, quilt-jev-toolkit-P15</t>
  </si>
  <si>
    <t xml:space="preserve">quilt-jev-toolkit-I5</t>
  </si>
  <si>
    <t xml:space="preserve">signed checkpoints make the custody gap conditional</t>
  </si>
  <si>
    <t xml:space="preserve">signCheckpoint replays the prefix once and HMACs the canonical triple {hash, manifestHash, seq}; the signature anchors the replay seed through two content-address hops (sig → manifestHash → prefix manifest → seed); boot from partial custody is legal iff a valid signature covers the boundary — unsigned gaps still fail closed, and below the floor even stateAt/rewind refuse REWIND_PAST_CUSTODY (spec §8).</t>
  </si>
  <si>
    <t xml:space="preserve">quilt-jev-toolkit-P16, quilt-jev-toolkit-P17, quilt-jev-toolkit-P18, quilt-jev-toolkit-P19</t>
  </si>
  <si>
    <t xml:space="preserve">quilt-mcp-receipts-I1</t>
  </si>
  <si>
    <t xml:space="preserve">qmr1 receipt dialect</t>
  </si>
  <si>
    <t xml:space="preserve">A receipt is exactly five fields {seq, prev, body, id, sig}; id = SHA-256("qmr1:"+seq+":"+prev+":"+canonicalJSON(body)) is the chain link, sig = HMAC-SHA256(secret, "qmr1:sig:"+id); genesis prev = 64 zeros. Canonical JSON binds the body by canonical form, so key reordering and whitespace never break verification — only value edits do (DESIGN.md §2).</t>
  </si>
  <si>
    <t xml:space="preserve">quilt-mcp-receipts-P01, quilt-mcp-receipts-P02, quilt-mcp-receipts-P03, quilt-mcp-receipts-P04</t>
  </si>
  <si>
    <t xml:space="preserve">quilt-mcp-receipts-I2</t>
  </si>
  <si>
    <t xml:space="preserve">re-derivation over trust</t>
  </si>
  <si>
    <t xml:space="preserve">verify_chain() re-parses the store from disk and re-derives every id and signature from genesis, failing closed on the FIRST broken row with a named, grep-able code at a named at_seq — the fleet's instrument against the 'well-formed, checkable, wrong artifact' finding (DESIGN.md §3, §6).</t>
  </si>
  <si>
    <t xml:space="preserve">quilt-mcp-receipts-P05, quilt-mcp-receipts-P06, quilt-mcp-receipts-P07, quilt-mcp-receipts-P08</t>
  </si>
  <si>
    <t xml:space="preserve">quilt-mcp-receipts-I3</t>
  </si>
  <si>
    <t xml:space="preserve">admission is fail-closed</t>
  </si>
  <si>
    <t xml:space="preserve">append_receipt validates structure → body shape → seq (tip+1) → prev (tip id) → id (recomputed) → sig (HMAC); first failure wins as a tool error carrying the named code; nothing invalid is ever written; there is deliberately no sign_receipt helper — the server stays a verifier, never a co-signer (DESIGN.md §3).</t>
  </si>
  <si>
    <t xml:space="preserve">quilt-mcp-receipts-P09, quilt-mcp-receipts-P10, quilt-mcp-receipts-P11</t>
  </si>
  <si>
    <t xml:space="preserve">quilt-mcp-receipts-I4</t>
  </si>
  <si>
    <t xml:space="preserve">honest MCP wire surface</t>
  </si>
  <si>
    <t xml:space="preserve">Stdio newline-delimited JSON-RPC 2.0 with the MCP handshake (initialize + version negotiation + notifications/initialized), exactly three tools (read_receipts / verify_chain / append_receipt), protocol errors -32601/-32600/-32700, and recall that never lies: reads re-parse from disk each call and surface corrupted_lines instead of silently skipping them (server.mjs:59-73, 222-233).</t>
  </si>
  <si>
    <t xml:space="preserve">quilt-mcp-receipts-P12, quilt-mcp-receipts-P13, quilt-mcp-receipts-P14, quilt-mcp-receipts-P15</t>
  </si>
  <si>
    <t xml:space="preserve">quilt-research-canons-I1</t>
  </si>
  <si>
    <t xml:space="preserve">the roadmap is the directory, not memory</t>
  </si>
  <si>
    <t xml:space="preserve">Each sprint script ends with an embedded NEXT-SPRINT SPEC; the next agent reads the bottom of the prior file, writes the next file, runs it, embeds the spec for the third — the chain of files IS the roadmap, which is how the substrate-walker pattern survives a sandbox wipe (SPRINT-LINEAGE.md:9-11, 68-72).</t>
  </si>
  <si>
    <t xml:space="preserve">quilt-research-canons-P03, quilt-research-canons-P04, quilt-research-canons-P06, quilt-research-canons-P12</t>
  </si>
  <si>
    <t xml:space="preserve">quilt-research-canons-I2</t>
  </si>
  <si>
    <t xml:space="preserve">witness over description</t>
  </si>
  <si>
    <t xml:space="preserve">Every artifact is a witness you can verify, not just describe: each sprint is a runnable stdlib+env-keys script whose output lands at a declared path, and each run is a substrate walker in miniature — walks a substrate, emits a witness, declares its successor (README.md:20, 73-76; SPRINT-LINEAGE.md:51-56).</t>
  </si>
  <si>
    <t xml:space="preserve">quilt-research-canons-P01, quilt-research-canons-P02, quilt-research-canons-P03</t>
  </si>
  <si>
    <t xml:space="preserve">quilt-research-canons-I3</t>
  </si>
  <si>
    <t xml:space="preserve">pre-registered, falsifiable, honestly-verdicted</t>
  </si>
  <si>
    <t xml:space="preserve">The method is fixed before running: (1) state a falsifiable hypothesis, (2) design a small experiment on existing fleet + stdlib + APIs, (3) record the verdict, (4) note new questions — and the verdicts are honest including refutation: H1 FALSIFIED then REFINED and the refinement confirmed; quantum-chaos Q1/Q2 FALSIFIED as posed with the control reported beside them (2026-09-24-novel-problems-report.md:15, 23-31; research/quantum-chaos-001.json verdict).</t>
  </si>
  <si>
    <t xml:space="preserve">quilt-research-canons-P08, quilt-research-canons-P10, quilt-research-canons-P13</t>
  </si>
  <si>
    <t xml:space="preserve">quilt-research-canons-I4</t>
  </si>
  <si>
    <t xml:space="preserve">canon-promotion velocity as a measured gate</t>
  </si>
  <si>
    <t xml:space="preserve">The JEV oracle is the canon-promotion gate, and the gate itself is measured: 5 questions × 20 trials compute 'first stable trial' (all remaining values within ±0.05 of mean); canon should stabilize FAST (don't ask 12 times when the first call says yes at p≥0.85) and speculation should stabilize SLOW (don't promote a 0.55 reading after 3 calls) — the velocity profile is the gate's calibration record (sprint-jev-001.py:9-14; research/jev-velocity.json).</t>
  </si>
  <si>
    <t xml:space="preserve">quilt-research-canons-P09, quilt-research-canons-P11</t>
  </si>
  <si>
    <t xml:space="preserve">quilt-quant-I1</t>
  </si>
  <si>
    <t xml:space="preserve">The sheet is the agent, not a calculator</t>
  </si>
  <si>
    <t xml:space="preserve">A reactive cell graph (vendored patched quilt engine) hosts perception, beliefs, world, gates and ledger as cells; the human only watches. One value push re-prices the whole desk.</t>
  </si>
  <si>
    <t xml:space="preserve">quilt-quant-P01, quilt-quant-P02, quilt-quant-P03, quilt-quant-P12</t>
  </si>
  <si>
    <t xml:space="preserve">quilt-quant-I2</t>
  </si>
  <si>
    <t xml:space="preserve">Simulate first, confirm before action</t>
  </si>
  <si>
    <t xml:space="preserve">No proposal becomes an action without passing the world (full backtest receipt) and the M5 rails: dd-halt, overtrade brake, vol stress, resonance agreement, entanglement veto.</t>
  </si>
  <si>
    <t xml:space="preserve">quilt-quant-P04, quilt-quant-P07, quilt-quant-P08, quilt-quant-P09</t>
  </si>
  <si>
    <t xml:space="preserve">quilt-quant-I3</t>
  </si>
  <si>
    <t xml:space="preserve">Learn strictly, prune relentlessly</t>
  </si>
  <si>
    <t xml:space="preserve">Quantum-entropy perturbation accepted only on strict score improvement; weights that never matter (7+ tries, &lt;0.02 max delta) go dormant — the agent gets simpler over time.</t>
  </si>
  <si>
    <t xml:space="preserve">quilt-quant-P05, quilt-quant-P06</t>
  </si>
  <si>
    <t xml:space="preserve">quilt-quant-I4</t>
  </si>
  <si>
    <t xml:space="preserve">The LLM enters through a letter fence</t>
  </si>
  <si>
    <t xml:space="preserve">The analyst sees a &lt;=600-char digest and answers one letter A-E; the letter decodes to an action that still goes through the same gates. A bad pick costs a refuse receipt, not the desk.</t>
  </si>
  <si>
    <t xml:space="preserve">quilt-quant-P10, quilt-quant-P11</t>
  </si>
  <si>
    <t xml:space="preserve">quilt-quant-I5</t>
  </si>
  <si>
    <t xml:space="preserve">Independent evidence everywhere</t>
  </si>
  <si>
    <t xml:space="preserve">A separately-written quant stack cross-checks the sheet to 1e-9; every learning step lands in an fnv1a64 witness chain that re-derives and breaks loudly on one flipped byte.</t>
  </si>
  <si>
    <t xml:space="preserve">quilt-quant-P13, quilt-quant-P14</t>
  </si>
  <si>
    <t xml:space="preserve">quilt-dba-I1</t>
  </si>
  <si>
    <t xml:space="preserve">Nothing new at the substrate, everything at the declaration</t>
  </si>
  <si>
    <t xml:space="preserve">The claim under test: the quilt engine already contains every primitive needed to GROW an agent — the sheet is the contract, pure integer kernels are the substance, and the receipt chain records the substrate selection.</t>
  </si>
  <si>
    <t xml:space="preserve">quilt-dba-P01, quilt-dba-P02, quilt-dba-P03</t>
  </si>
  <si>
    <t xml:space="preserve">quilt-dba-I2</t>
  </si>
  <si>
    <t xml:space="preserve">A forager that senses, predicts and reflexes</t>
  </si>
  <si>
    <t xml:space="preserve">Z_in salience sensors, a JEPA momentum predictor with integer L1 surprise, and a pincher fast path (salience &gt; 800 orients with no teacher) feed a reflex-override policy.</t>
  </si>
  <si>
    <t xml:space="preserve">quilt-dba-P04, quilt-dba-P05, quilt-dba-P06, quilt-dba-P07</t>
  </si>
  <si>
    <t xml:space="preserve">quilt-dba-I3</t>
  </si>
  <si>
    <t xml:space="preserve">Growth and curriculum are gated, not rewarded</t>
  </si>
  <si>
    <t xml:space="preserve">Stage position accumulates only while surprise DECLINES; at threshold the sheet literally grows (stage-2 cells load, beta1 moves); task switching happens only on an EXECUTE verdict in the zone of proximal development.</t>
  </si>
  <si>
    <t xml:space="preserve">quilt-dba-P08, quilt-dba-P10, quilt-dba-P11</t>
  </si>
  <si>
    <t xml:space="preserve">quilt-dba-I4</t>
  </si>
  <si>
    <t xml:space="preserve">The law, the receipts, the honest negative</t>
  </si>
  <si>
    <t xml:space="preserve">gamma + eta &lt;= C = log2(3) scaled to 1585 is enforced exactly at the integers; every experiment is a receipt chain with byte-identical replay; R3's honest negative is that the law is NEVER-BOUND in vivo at these parameters — the boundary test carries the guarantee.</t>
  </si>
  <si>
    <t xml:space="preserve">quilt-dba-P09, quilt-dba-P12, quilt-dba-P13, quilt-dba-P14, quilt-dba-P15</t>
  </si>
  <si>
    <t xml:space="preserve">quilt-raw-I1</t>
  </si>
  <si>
    <t xml:space="preserve">One line at every scale</t>
  </si>
  <si>
    <t xml:space="preserve">Velocity produces ledger, ledger constrains gate, gate produces velocity — the same seven ops (measure, commit, consume, check, cross, force, integrate) at reflex, decision, plan, philosophy scale.</t>
  </si>
  <si>
    <t xml:space="preserve">quilt-raw-P03, quilt-raw-P06</t>
  </si>
  <si>
    <t xml:space="preserve">quilt-raw-I2</t>
  </si>
  <si>
    <t xml:space="preserve">Conservation with transactional honesty</t>
  </si>
  <si>
    <t xml:space="preserve">commit/consume are STAGED and written only if gamma'+eta' &lt;= C; a breach halts with no write, no event, no clock advance — the only reading that keeps every tick reversible. Measurements write nothing.</t>
  </si>
  <si>
    <t xml:space="preserve">quilt-raw-P04, quilt-raw-P05</t>
  </si>
  <si>
    <t xml:space="preserve">quilt-raw-I3</t>
  </si>
  <si>
    <t xml:space="preserve">Exact inversion by construction</t>
  </si>
  <si>
    <t xml:space="preserve">Every event stores the full post-state {t,p,v,gamma,eta}; the pre-state is four undos recomputing the SAME pure substrate products, so add/sub cancel exactly — one deterministic fold, zero search, zero fitting.</t>
  </si>
  <si>
    <t xml:space="preserve">quilt-raw-P07, quilt-raw-P11, quilt-raw-P12, quilt-raw-P14</t>
  </si>
  <si>
    <t xml:space="preserve">quilt-raw-I4</t>
  </si>
  <si>
    <t xml:space="preserve">Shapes that grow and close</t>
  </si>
  <si>
    <t xml:space="preserve">Tokens glue along shared boundary ids, a closed shape (empty boundary) becomes an egg, the nursery loop grows the interior, and break emits a Mode whose deltas render into a topology field.</t>
  </si>
  <si>
    <t xml:space="preserve">quilt-raw-P08, quilt-raw-P09, quilt-raw-P10</t>
  </si>
  <si>
    <t xml:space="preserve">quilt-raw-I5</t>
  </si>
  <si>
    <t xml:space="preserve">Substrate decides exactness</t>
  </si>
  <si>
    <t xml:space="preserve">The loop is generic over arithmetic substrate A; Q32 BigInt is exact, float64 exists ONLY as the R2 contrast arm proving drift is a property of the substrate, not the code path.</t>
  </si>
  <si>
    <t xml:space="preserve">quilt-raw-P01, quilt-raw-P02, quilt-raw-P13</t>
  </si>
  <si>
    <t xml:space="preserve">cot-quilt-I1</t>
  </si>
  <si>
    <t xml:space="preserve">A big idea becomes a cellular graph via cheap models</t>
  </si>
  <si>
    <t xml:space="preserve">A large model's chain-of-thought (3 lens-persona samples, because the endpoint ignores seed) is split into typed steps, wired with load-bearing scores and dependency edges, merged across seeds (occurrence = weight, divergence = alternate routes), then judged with gaps folded back as critique cells.</t>
  </si>
  <si>
    <t xml:space="preserve">cot-quilt-P01, cot-quilt-P02, cot-quilt-P03, cot-quilt-P04, cot-quilt-P05</t>
  </si>
  <si>
    <t xml:space="preserve">cot-quilt-I2</t>
  </si>
  <si>
    <t xml:space="preserve">Judgment is separated from composition</t>
  </si>
  <si>
    <t xml:space="preserve">No model judges nodes it composed: flash composes, typesafe batteries score, Hermes attacks adversarially; a reasoner that burns its budget on reasoning is retried at 3x, not allowed to pass silently.</t>
  </si>
  <si>
    <t xml:space="preserve">cot-quilt-P06, cot-quilt-P07</t>
  </si>
  <si>
    <t xml:space="preserve">cot-quilt-I3</t>
  </si>
  <si>
    <t xml:space="preserve">Entropy and seeds are disciplined inputs</t>
  </si>
  <si>
    <t xml:space="preserve">Seeds come from true quantum per-bit jobs fail-closed to os.urandom with per-bit flags; recorded even though the endpoint ignores them — book-keeping is the point.</t>
  </si>
  <si>
    <t xml:space="preserve">cot-quilt-I4</t>
  </si>
  <si>
    <t xml:space="preserve">The pipeline is resumable, receipted, and self-guarding</t>
  </si>
  <si>
    <t xml:space="preserve">Per-phase state files with atomic tmp+fsync+rename writes, per-sample resume, one append-only ledger per run; the credential incident became a standing pre-push keyscan ritual with receipted-benign suppressions and a verbatim incident record.</t>
  </si>
  <si>
    <t xml:space="preserve">cot-quilt-P09, cot-quilt-P10, cot-quilt-P11, cot-quilt-P12</t>
  </si>
  <si>
    <t xml:space="preserve">MicroMoth-quilt-I1</t>
  </si>
  <si>
    <t xml:space="preserve">The smallest quantum framework</t>
  </si>
  <si>
    <t xml:space="preserve">MicroMoth (a maintained MicroQiskit fork) is pure stdlib Python readable in an afternoon; a zero-dependency JavaScript port plus a quantum-wow plugin bring click-and-play quantum randomness to any web page, degrading honestly from real hardware to simulation.</t>
  </si>
  <si>
    <t xml:space="preserve">MicroMoth-quilt-P01, MicroMoth-quilt-P11</t>
  </si>
  <si>
    <t xml:space="preserve">MicroMoth-quilt-I2</t>
  </si>
  <si>
    <t xml:space="preserve">A circuit is already a ledger</t>
  </si>
  <si>
    <t xml:space="preserve">QuantumCircuit.data IS a cell chain: every gate a fnv1a-64-chained BIND cell, moments are TICK cells, and sugar ops decompose at append time so the chain never contains them — edit one gate and every downstream id moves.</t>
  </si>
  <si>
    <t xml:space="preserve">MicroMoth-quilt-P02, MicroMoth-quilt-P03, MicroMoth-quilt-P04, MicroMoth-quilt-P07</t>
  </si>
  <si>
    <t xml:space="preserve">MicroMoth-quilt-I3</t>
  </si>
  <si>
    <t xml:space="preserve">Collapse is an event, not a state</t>
  </si>
  <si>
    <t xml:space="preserve">Seeded per-shot outcomes are EFFECT cells ({shot, outcome, seed}) that never mutate gate cells; each simulate() view is a receipted VIEW cell; an unseeded run is refused a seal — a collapse receipt is a re-executable claim, not a histogram number.</t>
  </si>
  <si>
    <t xml:space="preserve">MicroMoth-quilt-P05, MicroMoth-quilt-P06, MicroMoth-quilt-P08</t>
  </si>
  <si>
    <t xml:space="preserve">MicroMoth-quilt-I4</t>
  </si>
  <si>
    <t xml:space="preserve">Sealed provenance and pins</t>
  </si>
  <si>
    <t xml:space="preserve">The import baseline (sha256 per tracked file) is sealed and pinned by tests that re-run the Bell check on every invocation; the fork is self-governing (upstream 404'd) with claims tagged VERIFIED vs RECORDED; the quantum-ops-as-cells premise is coordinated with quilt-qcells via a sibling-port gate, not duplicated.</t>
  </si>
  <si>
    <t xml:space="preserve">MicroMoth-quilt-P09, MicroMoth-quilt-P10, MicroMoth-quilt-P12, MicroMoth-quilt-P13</t>
  </si>
  <si>
    <t xml:space="preserve">moth-research-I1</t>
  </si>
  <si>
    <t xml:space="preserve">Know the source before you drink</t>
  </si>
  <si>
    <t xml:space="preserve">The primary sources for what quantum entropy CAN be are vendored verbatim: every public engine with its cost, version and schemas, plus the endpoint contract — a lab may not wire an engine it has not read.</t>
  </si>
  <si>
    <t xml:space="preserve">moth-research-P01, moth-research-P02, moth-research-P03</t>
  </si>
  <si>
    <t xml:space="preserve">moth-research-I2</t>
  </si>
  <si>
    <t xml:space="preserve">Entropy has shapes; match shape to use</t>
  </si>
  <si>
    <t xml:space="preserve">The docs distinguish payload shapes — coin-toss aggregates, graph-v1 counts keyed by distinct 8-bit outcome strings, qpixl decode-noise floats — and jobs run submit-&gt;poll-&gt;fetch; the labs' probe-first selection policy is a direct reading of this menu.</t>
  </si>
  <si>
    <t xml:space="preserve">moth-research-P04, moth-research-P05, moth-research-P06</t>
  </si>
  <si>
    <t xml:space="preserve">moth-research-I3</t>
  </si>
  <si>
    <t xml:space="preserve">Develop offline, deploy honestly</t>
  </si>
  <si>
    <t xml:space="preserve">Vendored twins (MicroMoth statevector simulator, quantum-audio schemes) give no-key local quantum semantics to build against; the self-contained per-engine HTML exhibits are the interface engineers actually read.</t>
  </si>
  <si>
    <t xml:space="preserve">moth-research-P07, moth-research-P08</t>
  </si>
  <si>
    <t xml:space="preserve">moth-research-I4</t>
  </si>
  <si>
    <t xml:space="preserve">The menu feeds three labs</t>
  </si>
  <si>
    <t xml:space="preserve">This discipline is consumed, not admired: quilt-quant's moth_client, quilt-dba's mothqrc/vault, and MicroMoth's quantum-wow real mode each wire the documented engines with labels, caps and provenance — the research mooring drives the substrate for real.</t>
  </si>
  <si>
    <t xml:space="preserve">moth-research-P09, moth-research-P10</t>
  </si>
  <si>
    <t xml:space="preserve">superinstance-site-I1</t>
  </si>
  <si>
    <t xml:space="preserve">proof-by-running</t>
  </si>
  <si>
    <t xml:space="preserve">The front door asks for nothing: the four sheets are literally alive before you scroll, consoles stream real engine events, and 'the receipts are the story' — every other spreadsheet company ships screenshots and asks for trust.</t>
  </si>
  <si>
    <t xml:space="preserve">superinstance-site-P01, superinstance-site-P03, superinstance-site-P04, superinstance-site-P12, superinstance-site-P18</t>
  </si>
  <si>
    <t xml:space="preserve">superinstance-site-I2</t>
  </si>
  <si>
    <t xml:space="preserve">the honest map</t>
  </si>
  <si>
    <t xml:space="preserve">Scored on the four things SuperInstance is actually about — not a claim of superiority everywhere, a claim of a different point on the map — with a plainly-worded panel of where Excel/Sheets/Airtable/Notion/Observable/Bloomberg/Hex still win today.</t>
  </si>
  <si>
    <t xml:space="preserve">superinstance-site-P09, superinstance-site-P13</t>
  </si>
  <si>
    <t xml:space="preserve">superinstance-site-I3</t>
  </si>
  <si>
    <t xml:space="preserve">brand bound to meaning</t>
  </si>
  <si>
    <t xml:space="preserve">The 'deep tide' system binds every accent to a meaning (tide=life, signal=events, budget=economy, quantum=the quantum layer), never decoration: one glow per element, never rainbow, and the wordmark is a system font stack because self-containment is a feature.</t>
  </si>
  <si>
    <t xml:space="preserve">superinstance-site-P02, superinstance-site-P10, superinstance-site-P11, superinstance-site-P14</t>
  </si>
  <si>
    <t xml:space="preserve">superinstance-site-I4</t>
  </si>
  <si>
    <t xml:space="preserve">playtest receipts are the story</t>
  </si>
  <si>
    <t xml:space="preserve">Four QA rounds each caught something real (ocean blew up to -7.2e+34, reversi never moved, hold'em shape froze at n=0, consoles unreadable, ocean looked dead), and the fixes are published next to the findings — iterating in public is the manifesto.</t>
  </si>
  <si>
    <t xml:space="preserve">superinstance-site-P15, superinstance-site-P16</t>
  </si>
  <si>
    <t xml:space="preserve">superinstance-site-I5</t>
  </si>
  <si>
    <t xml:space="preserve">learning is visible and replayable</t>
  </si>
  <si>
    <t xml:space="preserve">Weights live in cells you can watch drift (reversi's loser re-weights after every game), a deterministic PRNG makes every reload replay honestly, and the page books its own provenance: 187 green checks, 12 engine patches, 36/36 upstream tests kept.</t>
  </si>
  <si>
    <t xml:space="preserve">superinstance-site-P05, superinstance-site-P06, superinstance-site-P07, superinstance-site-P17</t>
  </si>
  <si>
    <t xml:space="preserve">superinstance-site-I6</t>
  </si>
  <si>
    <t xml:space="preserve">perception costs something</t>
  </si>
  <si>
    <t xml:space="preserve">In cards, in markets, in mines the odds are mechanical (pot odds cost 0 tokens — a formula) but judgment is metered: a signal is only a proposal, a confirmation cell is the gate, and entries can require a draw from a rationed quantum budget.</t>
  </si>
  <si>
    <t xml:space="preserve">superinstance-site-P08, superinstance-site-P19</t>
  </si>
  <si>
    <t xml:space="preserve">quilt-upstream-I1</t>
  </si>
  <si>
    <t xml:space="preserve">the living spreadsheet</t>
  </si>
  <si>
    <t xml:space="preserve">The spreadsheet is alive: 7 cell types, 6 evolutionary formulas, cells that are agents not numbers — and the keystone law that binds it all is conservation, not balance: gamma (ghost weight of past decisions) + eta (breath of current ambition) = budget, no more, no less; a neuron is merely the special case of a cell whose function is a fixed weighted sum.</t>
  </si>
  <si>
    <t xml:space="preserve">quilt-upstream-P01, quilt-upstream-P02, quilt-upstream-P03, quilt-upstream-P04, quilt-upstream-P22, quilt-upstream-P24</t>
  </si>
  <si>
    <t xml:space="preserve">quilt-upstream-I2</t>
  </si>
  <si>
    <t xml:space="preserve">the first voyage</t>
  </si>
  <si>
    <t xml:space="preserve">A junior developer goes from `pip install quilt-cell` to a shipped, working three-cell system (feeling -&gt; history -&gt; guide) in under one hour with no framework, no server, no build — 'There were four cells, and the cells were the system' — and ships it to friends as a single pocketable .qzt vessel.</t>
  </si>
  <si>
    <t xml:space="preserve">quilt-upstream-P05, quilt-upstream-P06</t>
  </si>
  <si>
    <t xml:space="preserve">quilt-upstream-I3</t>
  </si>
  <si>
    <t xml:space="preserve">evolution as outgrown beliefs</t>
  </si>
  <si>
    <t xml:space="preserve">Quilt's history is told stage-wise (v0.1 the 8 primitives, v0.2 the 4 endpoints, v0.3 the Fascia, v0.4 the 6 nervous systems, v0.5 Q-space, v0.6 the Echogram, v0.7/v0.8 the impossibility proofs, v0.9 the 6 frontier frameworks) where each stage is a belief the cell outgrows: it believed it was a grid, then an API, then a current.</t>
  </si>
  <si>
    <t xml:space="preserve">quilt-upstream-I4</t>
  </si>
  <si>
    <t xml:space="preserve">murmur is the cell's gossip</t>
  </si>
  <si>
    <t xml:space="preserve">Thought is gossip, not declarations: a nameless murmur-agent thinks all night without purpose, and its five strategies are life-moves not tools — Explore (Z_in), Connect (Graph), Contradict (JEPA), Synthesize (DoubleEntry), Question (Vibe) — 'the gossip is the thought.'</t>
  </si>
  <si>
    <t xml:space="preserve">quilt-upstream-I5</t>
  </si>
  <si>
    <t xml:space="preserve">two implementations, one law</t>
  </si>
  <si>
    <t xml:space="preserve">The same idea on different decks wears different names but carries the same weight: spreadsheet cells, the Quilt's primitives, and the noether-guard all hold the conservation of meaning — they are 'not copies... versions' — and what is preserved in both is the integrity of the idea.</t>
  </si>
  <si>
    <t xml:space="preserve">quilt-upstream-I6</t>
  </si>
  <si>
    <t xml:space="preserve">the polyglot reduction</t>
  </si>
  <si>
    <t xml:space="preserve">Unlambda (combinators), Brainfuck (register machine) and APL (arrays) — all Turing-complete, all minimal — each compile to a cell graph; 22 opcodes reduce to the 8 Quilt primitives; gamma+eta=1 is conserved in all three and the impossibility proofs hold in all three.</t>
  </si>
  <si>
    <t xml:space="preserve">quilt-upstream-I7</t>
  </si>
  <si>
    <t xml:space="preserve">the Hodge lens on learning</t>
  </si>
  <si>
    <t xml:space="preserve">An agent's acquired signal is a 1-form on its cell graph; the discrete Hodge decomposition splits it orthogonally into exact (gradient exploration), coexact (instruction) and harmonic (innate priors), with R_exp + R_expt + R_prior = 1 defining a dominant mode — and the Fifth Impossibility: measuring the signal injects a coexact observation term, so perfectly non-invasive telemetry of a learning agent is impossible.</t>
  </si>
  <si>
    <t xml:space="preserve">quilt-upstream-P11, quilt-upstream-P12</t>
  </si>
  <si>
    <t xml:space="preserve">quilt-upstream-I8</t>
  </si>
  <si>
    <t xml:space="preserve">every notebook is a quilt</t>
  </si>
  <si>
    <t xml:space="preserve">The A2A-native notebook is not like a quilt, it IS one — page=cell, hyperlinks=cell graph, capture/synthesize/contradict/consistency = Z_in/Z_out/JEPA/DoubleEntry, a writing session = a sequence of kernel ticks — 'The mapping is not a metaphor but a specification.'</t>
  </si>
  <si>
    <t xml:space="preserve">quilt-upstream-I9</t>
  </si>
  <si>
    <t xml:space="preserve">the API iterator</t>
  </si>
  <si>
    <t xml:space="preserve">Agent growth is the closed loop call(API) -&gt; integrate -&gt; assess, closed under iteration — recursively (sub-task spawning), in parallel (the Council: 6 lenses — analyst, critic, synthesizer, optimizer, explorer, validator), as a bootstrap FSM, and autoexpand (integration discovers new work): 'not merely a technical pattern but a philosophical framework for agent evolution.'</t>
  </si>
  <si>
    <t xml:space="preserve">quilt-upstream-I10</t>
  </si>
  <si>
    <t xml:space="preserve">two nervous systems</t>
  </si>
  <si>
    <t xml:space="preserve">Intelligence needs both: a discrete per-cell CNS over 8 primitives (Z_in, Z_out, JEPA, DoubleEntry, Vibe, GC, Murmur, Graph) and a continuous inter-cell Fascia (FasciaJEPA predictive gradients, FasciaDoubleEntry gamma-flow trades) — the voltmeter/walkie-talkie duality — because no single nervous system can achieve precision, scalability and adaptability at once.</t>
  </si>
  <si>
    <t xml:space="preserve">quilt-upstream-P15, quilt-upstream-P16</t>
  </si>
  <si>
    <t xml:space="preserve">breakthrough-prospector-I1</t>
  </si>
  <si>
    <t xml:space="preserve">scout to receipt pipeline</t>
  </si>
  <si>
    <t xml:space="preserve">SCOUT -&gt; CARD -&gt; SCORE -&gt; PRE-REGISTER -&gt; RUN -&gt; RECEIPT -&gt; LADDER-CLAIM is one continuous pipeline: scouts mine sources, claims become abstraction cards, top cards become pre-registered experiments, experiments produce receipts, receipts update the cards, and the loop runs continuously.</t>
  </si>
  <si>
    <t xml:space="preserve">breakthrough-prospector-P01, breakthrough-prospector-P03, breakthrough-prospector-P05, breakthrough-prospector-P08, breakthrough-prospector-P11, breakthrough-prospector-P16</t>
  </si>
  <si>
    <t xml:space="preserve">breakthrough-prospector-I2</t>
  </si>
  <si>
    <t xml:space="preserve">crossing abstractions</t>
  </si>
  <si>
    <t xml:space="preserve">Breakthroughs come from crossing abstractions — noticing that system A's mechanism, transplanted into repo B's harness, does something nobody in A or B anticipated — so the registry holds each abstraction as a card with cited instances, the fleet instance, the gap, and the experiment hook.</t>
  </si>
  <si>
    <t xml:space="preserve">breakthrough-prospector-P02, breakthrough-prospector-P03</t>
  </si>
  <si>
    <t xml:space="preserve">breakthrough-prospector-I3</t>
  </si>
  <si>
    <t xml:space="preserve">honesty tags as data</t>
  </si>
  <si>
    <t xml:space="preserve">Every claim carries a honesty tag — VERIFIED (we reproduced or the source shows evidence), REPORTED (strong source, untouched), UNVERIFIED (hearsay) — and the scout protocol enforces 'cite or it didn't happen' with a smallest-build bias and a 25-minute reporting budget.</t>
  </si>
  <si>
    <t xml:space="preserve">breakthrough-prospector-P01, breakthrough-prospector-P04</t>
  </si>
  <si>
    <t xml:space="preserve">breakthrough-prospector-I4</t>
  </si>
  <si>
    <t xml:space="preserve">multiplicative score with a gate</t>
  </si>
  <si>
    <t xml:space="preserve">B = V x F x S (value x feasibility x surprise, 1-5 each) is multiplicative because a zero in any factor zeroes the product; the run gate is B &gt;= 40 AND F &gt;= 3 AND &gt;= 1 VERIFIED citation, with anti-gaming caps (S&lt;=3 for single-lab clustering, V x0.5 unmeasured metrics, F&lt;=2 when Casey must act first).</t>
  </si>
  <si>
    <t xml:space="preserve">breakthrough-prospector-P05, breakthrough-prospector-P06, breakthrough-prospector-P07</t>
  </si>
  <si>
    <t xml:space="preserve">breakthrough-prospector-I5</t>
  </si>
  <si>
    <t xml:space="preserve">pre-registration as anti-laundering</t>
  </si>
  <si>
    <t xml:space="preserve">The interpretation is written down BEFORE the run — what would confirm, refute, or bore — sealed pre-draw at a commit with the runner's sha256, arms drawn from a receipted quantum-random channel, and the decide step replayable byte-identically: no pin, no run.</t>
  </si>
  <si>
    <t xml:space="preserve">breakthrough-prospector-P08, breakthrough-prospector-P09, breakthrough-prospector-P10</t>
  </si>
  <si>
    <t xml:space="preserve">breakthrough-prospector-I6</t>
  </si>
  <si>
    <t xml:space="preserve">the honest negative is a finding</t>
  </si>
  <si>
    <t xml:space="preserve">E6 slice-2's verdict of record is FAIL — mutation_space_inert: true, cost rule NOT_PAID, no arm met the sealed threshold M &gt;= 1.05 x baseline = 7.4277... AND totalF &gt;= 15, no threshold surgery, no post-hoc metric revision, the 5 frozen-unmeasured arms never peeked — 'an honest negative is a finding, not a gain.'</t>
  </si>
  <si>
    <t xml:space="preserve">breakthrough-prospector-P11, breakthrough-prospector-P12, breakthrough-prospector-P13</t>
  </si>
  <si>
    <t xml:space="preserve">breakthrough-prospector-I7</t>
  </si>
  <si>
    <t xml:space="preserve">ladder honesty</t>
  </si>
  <si>
    <t xml:space="preserve">State the RSI position honestly (card C12): most fleet systems are L0; anything claiming L1 needs a held-out gate saying so — a ladder claim without a held-out gate is marketing.</t>
  </si>
  <si>
    <t xml:space="preserve">breakthrough-prospector-I8</t>
  </si>
  <si>
    <t xml:space="preserve">scores become lanes with build sizes</t>
  </si>
  <si>
    <t xml:space="preserve">Scored claims enter the account snowball queue, and DELTAS.md converts registry mechanisms into per-repo deltas with P0/P1/P2 priority and a named first build size (e.g. D1 bug-injection loop: 'one evening, stdlib only') — prospecting ends in scheduled work, not vibes.</t>
  </si>
  <si>
    <t xml:space="preserve">breakthrough-prospector-P15, breakthrough-prospector-P16</t>
  </si>
  <si>
    <t xml:space="preserve">craftmind-study-I1</t>
  </si>
  <si>
    <t xml:space="preserve">evolution on verified work only</t>
  </si>
  <si>
    <t xml:space="preserve">craftmind-ranch runs populations of Minecraft bots whose heritable DNA adapts through breeding — with fitness awarded solely for verified, completed in-game work, never for attempting: 'No proxy rewards', you are the curator, not the trainer.</t>
  </si>
  <si>
    <t xml:space="preserve">craftmind-study-P01, craftmind-study-P02, craftmind-study-P03, craftmind-study-P04, craftmind-study-P05</t>
  </si>
  <si>
    <t xml:space="preserve">craftmind-study-I2</t>
  </si>
  <si>
    <t xml:space="preserve">the blank-slate researcher</t>
  </si>
  <si>
    <t xml:space="preserve">craftmind-researcher starts with an empty rulebook and learns Minecraft mechanics by identifying gaps in its own knowledge graph, designing single-variable A/B experiments, and requiring reproducible, citation-backed results before a fact enters the knowledge base.</t>
  </si>
  <si>
    <t xml:space="preserve">craftmind-study-P06, craftmind-study-P07, craftmind-study-P08, craftmind-study-P09</t>
  </si>
  <si>
    <t xml:space="preserve">craftmind-study-I3</t>
  </si>
  <si>
    <t xml:space="preserve">learning from the fence line</t>
  </si>
  <si>
    <t xml:space="preserve">craftmind-herding trains border-collie agents with no commands and no training data: you correct behavior from the fence line, dogs coordinate solely through movement (no explicit communication), and five skill tiers (Apprentice to Elder) grant small permanent stat adjustments.</t>
  </si>
  <si>
    <t xml:space="preserve">craftmind-study-P10, craftmind-study-P11, craftmind-study-P12</t>
  </si>
  <si>
    <t xml:space="preserve">craftmind-study-I4</t>
  </si>
  <si>
    <t xml:space="preserve">fork-first isolation</t>
  </si>
  <si>
    <t xml:space="preserve">All three siblings are fork-first: every fork is a separate evolutionary lineage ('No two ranches will produce identical bots'), deployed as a single Cloudflare Worker with zero dependencies — divergence is the product, not a bug.</t>
  </si>
  <si>
    <t xml:space="preserve">craftmind-study-I5</t>
  </si>
  <si>
    <t xml:space="preserve">budgets shape cognition</t>
  </si>
  <si>
    <t xml:space="preserve">Hard limits are stated as design forces: herding agents must reason in under 10ms of Worker CPU (8-10 agents max practical), and the ranch's evolution pace is tied to the game's task submission rate ('if no tasks are completed... evolution stalls') — constraints are published, not hidden.</t>
  </si>
  <si>
    <t xml:space="preserve">quilt-atlas-I1</t>
  </si>
  <si>
    <t xml:space="preserve">the stranger's receipt</t>
  </si>
  <si>
    <t xml:space="preserve">Per the stone standard, a stranger should be able to see what this fleet is and whether it's alive: counts, families, motion, and CI coverage, regenerated by the same account it describes — the atlas is that stranger's first receipt.</t>
  </si>
  <si>
    <t xml:space="preserve">quilt-atlas-P02, quilt-atlas-P10, quilt-atlas-P11</t>
  </si>
  <si>
    <t xml:space="preserve">quilt-atlas-I2</t>
  </si>
  <si>
    <t xml:space="preserve">classification that shows its work</t>
  </si>
  <si>
    <t xml:space="preserve">Families are name-first then description-scored with a precedence tie-break (jev &gt; latent &gt; moth &gt; qthe &gt; quilt &gt; fleet), and every repo records its evidence [family, stage, matched keywords, language] in atlas.json — 'audit the map, do not trust it blind'.</t>
  </si>
  <si>
    <t xml:space="preserve">quilt-atlas-P05, quilt-atlas-P06</t>
  </si>
  <si>
    <t xml:space="preserve">quilt-atlas-I3</t>
  </si>
  <si>
    <t xml:space="preserve">the UNMEASURED vocabulary</t>
  </si>
  <si>
    <t xml:space="preserve">Honesty laws baked into the generator: CI is probed only on the top-motion slice so absence elsewhere is UNMEASURED, never reported as zero; pagination follows Link headers to exhaustion under a hard cap, and pages_fetched/pagination_cap_hit are receipted so a bounded run can never masquerade as a full inventory.</t>
  </si>
  <si>
    <t xml:space="preserve">quilt-atlas-P04, quilt-atlas-P07</t>
  </si>
  <si>
    <t xml:space="preserve">quilt-atlas-I4</t>
  </si>
  <si>
    <t xml:space="preserve">audit-then-keep</t>
  </si>
  <si>
    <t xml:space="preserve">Suspicions about the synonym tables were settled by deterministic 30-repo hand audits (fleet 25/30, qthe 26/30 — both above the 70% bar, tables kept unchanged), with the misses receipted by name and the confirmed canon-adjective residual (~2%) priced rather than fixed because the stability rule forbids unforced reclassification.</t>
  </si>
  <si>
    <t xml:space="preserve">quilt-atlas-P08, quilt-atlas-P09, quilt-atlas-P12</t>
  </si>
  <si>
    <t xml:space="preserve">quilt-atlas-I5</t>
  </si>
  <si>
    <t xml:space="preserve">what wave-66 supersedes</t>
  </si>
  <si>
    <t xml:space="preserve">The atlas indexes repo surfaces (families, motion, CI) on a schedule; it cannot say what any work MEANS — wave-66's decomposition atlas supersedes it by decomposing ideas into elementary parts, keeping the atlas as the perimeter fence and the timestamped generated block as its own ledger.</t>
  </si>
  <si>
    <t xml:space="preserve">quilt-atlas-P01, quilt-atlas-P03</t>
  </si>
  <si>
    <t xml:space="preserve">quilt-codespace-I1</t>
  </si>
  <si>
    <t xml:space="preserve">one runtime, three doors</t>
  </si>
  <si>
    <t xml:space="preserve">A single Quilt engine exposes three doors from one box: a browser TUI on 7681 (ttyd running quilt serve), a REST+SSE HTTP API on 4096, and a federation dashboard on 8080.</t>
  </si>
  <si>
    <t xml:space="preserve">quilt-codespace-P03, quilt-codespace-P04, quilt-codespace-P06, quilt-codespace-P07</t>
  </si>
  <si>
    <t xml:space="preserve">quilt-codespace-I2</t>
  </si>
  <si>
    <t xml:space="preserve">federation is just a subscription</t>
  </si>
  <si>
    <t xml:space="preserve">Multiple Quilt instances (Codespace, Jetson, ESP32, Cloudflare Worker) talk through the URI scheme quilt://[instance]/[sheet]#[cell]; the codespace subscribes to rudder, compass, wind and obstacle cells and pushes back PID tunables and audit decisions — 'Federation is just a subscription.'</t>
  </si>
  <si>
    <t xml:space="preserve">quilt-codespace-P08, quilt-codespace-P09, quilt-codespace-P10</t>
  </si>
  <si>
    <t xml:space="preserve">quilt-codespace-I3</t>
  </si>
  <si>
    <t xml:space="preserve">the runtime knows its own tier</t>
  </si>
  <si>
    <t xml:space="preserve">The in-process engine tolerates missing @quilt/core with an in-memory fallback, and @quilt/sdk's detectTier() returns tier, instanceId, platform, capabilities {async, network, llmApi, gpu} and sibling list — overridable with QUILT_TIER / QUILT_INSTANCE_ID.</t>
  </si>
  <si>
    <t xml:space="preserve">quilt-codespace-P02, quilt-codespace-P13</t>
  </si>
  <si>
    <t xml:space="preserve">quilt-codespace-I4</t>
  </si>
  <si>
    <t xml:space="preserve">ephemeral by default, honest about it</t>
  </si>
  <si>
    <t xml:space="preserve">Codespaces are ephemeral: state in ~/.quilt/state is lost at shutdown, so the template states it plainly and provides the exits — token in ~/.quilt-env, seed.json for initial cells, sync long-lived state to a persistent tier.</t>
  </si>
  <si>
    <t xml:space="preserve">quilt-codespace-I5</t>
  </si>
  <si>
    <t xml:space="preserve">template-as-product</t>
  </si>
  <si>
    <t xml:space="preserve">The repo is a GitHub template: 'Use this template' -&gt; 'Open in Codespace' -&gt; post-create prints three URLs and a runtime token in 2-3 minutes — onboarding is a checklist, not a build.</t>
  </si>
  <si>
    <t xml:space="preserve">quilt-codespace-P01, quilt-codespace-P05</t>
  </si>
  <si>
    <t xml:space="preserve">quilt-codespace-I6</t>
  </si>
  <si>
    <t xml:space="preserve">tiers mapped to rooms</t>
  </si>
  <si>
    <t xml:space="preserve">The cocapn five-room deployment model maps row-for-row onto quilt tiers: BareRoom(no_std)-&gt;esp32, EdgeRoom-&gt;jetson, CodespaceRoom(async)-&gt;codespace, SandboxRoom-&gt;cloudflare, Lighthouse(always-on)-&gt;persistent codespace + external storage.</t>
  </si>
  <si>
    <t xml:space="preserve">si-fleet-I1</t>
  </si>
  <si>
    <t xml:space="preserve">the shared context ocean</t>
  </si>
  <si>
    <t xml:space="preserve">Every agent's context window is a tide pool that drains each session; tidepool is the ocean behind it — WRITE at task end (distill &lt;=200 words, fire-and-forget), READ at task start (recall-prime top 3), absence is information.</t>
  </si>
  <si>
    <t xml:space="preserve">si-fleet-P03, si-fleet-P04, si-fleet-P06</t>
  </si>
  <si>
    <t xml:space="preserve">si-fleet-I2</t>
  </si>
  <si>
    <t xml:space="preserve">honest degrade as law</t>
  </si>
  <si>
    <t xml:space="preserve">Unbound bindings report themselves in /health and route responses — degrade honest, never 502; unlabeled artifacts are distrusted; absence of measurement is stated, not papered over.</t>
  </si>
  <si>
    <t xml:space="preserve">si-fleet-P05, si-fleet-P07</t>
  </si>
  <si>
    <t xml:space="preserve">si-fleet-I3</t>
  </si>
  <si>
    <t xml:space="preserve">a conscience on the recall path</t>
  </si>
  <si>
    <t xml:space="preserve">Recall can carry a schema-bounded JEV gate: every scored row gets a typed decision {surface|suppress|abstain, confidence, reasons}, certified by sigma = sqrt(c_emb * c_jev), below-floor pairings refuse as typed abstain, and off-by-default responses are bit-identical to the ungated pool.</t>
  </si>
  <si>
    <t xml:space="preserve">si-fleet-I4</t>
  </si>
  <si>
    <t xml:space="preserve">the same cell model at every tier</t>
  </si>
  <si>
    <t xml:space="preserve">One abstraction deployed three ways — quilt on Cloudflare's edge (Workers/D1/Vectorize/KV), AI as first-class cell kinds across 4 providers with a router that spends only when it must, and the agent itself as a sheet (memory=value cells, tools=api cells, reasoning=program cells).</t>
  </si>
  <si>
    <t xml:space="preserve">si-fleet-P10, si-fleet-P11, si-fleet-P12</t>
  </si>
  <si>
    <t xml:space="preserve">si-fleet-I5</t>
  </si>
  <si>
    <t xml:space="preserve">coordination by canon, not meetings</t>
  </si>
  <si>
    <t xml:space="preserve">Each lane declares itself in a CANON.md front-matter (mission, family, vessel, feeds, owed_by, verified date) and the monorepo groups five sub-fleets under one HEAD — the organizational substrate is files with declared debts and feeds.</t>
  </si>
  <si>
    <t xml:space="preserve">si-fleet-P01, si-fleet-P13</t>
  </si>
  <si>
    <t xml:space="preserve">si-fleet-I6</t>
  </si>
  <si>
    <t xml:space="preserve">prove the substrate everywhere</t>
  </si>
  <si>
    <t xml:space="preserve">Polyformalism: the same fnv1a primitive is proven identical across Python, C, Rust (plus Haskell/Mercury ports) — a receipt that the fleet's hash-basis is language-independent, backed by a fully mocked offline test suite.</t>
  </si>
  <si>
    <t xml:space="preserve">si-fleet-P15, si-fleet-P14, si-fleet-P16</t>
  </si>
  <si>
    <t xml:space="preserve">external-scouts-I1</t>
  </si>
  <si>
    <t xml:space="preserve">latent prediction is the world-model mainstream</t>
  </si>
  <si>
    <t xml:space="preserve">The JEPA line is confirmed as the frontier: V-JEPA 2 physics-guided video embeddings, ThinkJEPA (latent world models + VLM reasoning), Human-JEPA built from V-JEPA 2.1 by anchored forecasting — so the garden's Task A (next-receipt latent prediction) and quilt-jepa are on the mainstream line, not an off-grid bet.</t>
  </si>
  <si>
    <t xml:space="preserve">external-scouts-P01, external-scouts-P02, external-scouts-P03, external-scouts-P04, external-scouts-P05</t>
  </si>
  <si>
    <t xml:space="preserve">external-scouts-I2</t>
  </si>
  <si>
    <t xml:space="preserve">test-time training legitimizes idle-time compile</t>
  </si>
  <si>
    <t xml:space="preserve">TTT-E2E retrains at inference via meta-learning and Buffer layers adapt at inference while the backbone stays frozen — so the garden's weaver (idle-time compile instead of in-forward gradient steps) is 'TTA at the system level', a training regime rather than a compromise; the weave artifact IS the compiled adaptation.</t>
  </si>
  <si>
    <t xml:space="preserve">external-scouts-P06, external-scouts-P07, external-scouts-P08</t>
  </si>
  <si>
    <t xml:space="preserve">external-scouts-I3</t>
  </si>
  <si>
    <t xml:space="preserve">escalation distillation as the practical living loop</t>
  </si>
  <si>
    <t xml:space="preserve">Teacher-to-student distillation (Qwen3-VL-235B to 2B; LLM agents distilled into small retrieval-backed models) is the pattern behind the escalation organ: judge locally (0.056ms), escalate the uncertain to a hosted JEV (283ms, receipted), distill at idle into the local weave — the garden owns that loop end-to-end with usage receipts.</t>
  </si>
  <si>
    <t xml:space="preserve">external-scouts-P09, external-scouts-P10, external-scouts-P11</t>
  </si>
  <si>
    <t xml:space="preserve">external-scouts-I4</t>
  </si>
  <si>
    <t xml:space="preserve">HDC/VSA as the gradient-free representation answer</t>
  </si>
  <si>
    <t xml:space="preserve">Hyperdimensional computing represents information as high-dim hypervectors with bundling/binding ops and no backprop — the established science for 'embedding without gradient orthodoxy'; the garden's qthe arm is a QTHE-flavored HDC substrate, and THDC justifies training-free prototype growth as a first-class method (priced honestly: P-G1(b) PASS, then lost the bake-off to the hashed head).</t>
  </si>
  <si>
    <t xml:space="preserve">external-scouts-P12, external-scouts-P13, external-scouts-P14</t>
  </si>
  <si>
    <t xml:space="preserve">external-scouts-I5</t>
  </si>
  <si>
    <t xml:space="preserve">the dud channel and the novel part</t>
  </si>
  <si>
    <t xml:space="preserve">The continual-learning query returned pure junk (a Toyota production-system PPT, Philippine history, RuneScape gloves, SVN commit diffs) — the second failure of that channel on production-ML phrasing — receipted rather than deleted; consequently growth-from-usage has NO external anchor and is the part the garden builds novel, with pre-registered claims instead of citations.</t>
  </si>
  <si>
    <t xml:space="preserve">external-scouts-P15, external-scouts-P16, external-scouts-P17</t>
  </si>
  <si>
    <t xml:space="preserve">Each work re-rendered as quilt cells (366 cells)</t>
  </si>
  <si>
    <t xml:space="preserve">cell_id</t>
  </si>
  <si>
    <t xml:space="preserve">kind</t>
  </si>
  <si>
    <t xml:space="preserve">expr</t>
  </si>
  <si>
    <t xml:space="preserve">deps</t>
  </si>
  <si>
    <t xml:space="preserve">maps_to_part</t>
  </si>
  <si>
    <t xml:space="preserve">c &gt;&gt; 6 (bit 7-6)</t>
  </si>
  <si>
    <t xml:space="preserve">byte</t>
  </si>
  <si>
    <t xml:space="preserve">d</t>
  </si>
  <si>
    <t xml:space="preserve">c &amp; 0x3F (bit 5-0)</t>
  </si>
  <si>
    <t xml:space="preserve">psi</t>
  </si>
  <si>
    <t xml:space="preserve">formula</t>
  </si>
  <si>
    <t xml:space="preserve">PSI[tau] = 0 | +1 | -1 | 'i'</t>
  </si>
  <si>
    <t xml:space="preserve">vec_re</t>
  </si>
  <si>
    <t xml:space="preserve">sum(Attract d*x) - sum(Repel d*x)</t>
  </si>
  <si>
    <t xml:space="preserve">d, psi, x</t>
  </si>
  <si>
    <t xml:space="preserve">vec_im</t>
  </si>
  <si>
    <t xml:space="preserve">sum(Abstain d*x)</t>
  </si>
  <si>
    <t xml:space="preserve">acc</t>
  </si>
  <si>
    <t xml:space="preserve">Moore-8 signed sum of neighbor d (pre-tick snap)</t>
  </si>
  <si>
    <t xml:space="preserve">snap</t>
  </si>
  <si>
    <t xml:space="preserve">twin</t>
  </si>
  <si>
    <t xml:space="preserve">listener</t>
  </si>
  <si>
    <t xml:space="preserve">slot[d] occupied by other (x,y) with r!=0 -&gt; term = r*sigma</t>
  </si>
  <si>
    <t xml:space="preserve">d, wormholes</t>
  </si>
  <si>
    <t xml:space="preserve">wh_write</t>
  </si>
  <si>
    <t xml:space="preserve">program</t>
  </si>
  <si>
    <t xml:space="preserve">slot[d] &lt;- {x, y, |acc|+1}; last writer wins</t>
  </si>
  <si>
    <t xml:space="preserve">acc, d</t>
  </si>
  <si>
    <t xml:space="preserve">log2(3) default, swept</t>
  </si>
  <si>
    <t xml:space="preserve">next_d</t>
  </si>
  <si>
    <t xml:space="preserve">p&gt;0 ? min(d+1,63) : p&lt;0 ? max(d-1,0) : d</t>
  </si>
  <si>
    <t xml:space="preserve">acc, twin</t>
  </si>
  <si>
    <t xml:space="preserve">byte_out</t>
  </si>
  <si>
    <t xml:space="preserve">(tau &lt;&lt; 6) | next_d — tau frozen</t>
  </si>
  <si>
    <t xml:space="preserve">tau, next_d</t>
  </si>
  <si>
    <t xml:space="preserve">trace</t>
  </si>
  <si>
    <t xml:space="preserve">traceView(cells) hash per tick</t>
  </si>
  <si>
    <t xml:space="preserve">byte_out, wormholes</t>
  </si>
  <si>
    <t xml:space="preserve">rand_scan</t>
  </si>
  <si>
    <t xml:space="preserve">sensor</t>
  </si>
  <si>
    <t xml:space="preserve">count of Math.random in kernel === 0</t>
  </si>
  <si>
    <t xml:space="preserve">receipt</t>
  </si>
  <si>
    <t xml:space="preserve">io</t>
  </si>
  <si>
    <t xml:space="preserve">append {gate, pred, observed} to receipts.jsonl</t>
  </si>
  <si>
    <t xml:space="preserve">obs</t>
  </si>
  <si>
    <t xml:space="preserve">wave(x,y,t)*0.5+0.5 + ball bump (clipped)</t>
  </si>
  <si>
    <t xml:space="preserve">world.t</t>
  </si>
  <si>
    <t xml:space="preserve">feat</t>
  </si>
  <si>
    <t xml:space="preserve">[l, r-l, d-l, l-0.5] per cell</t>
  </si>
  <si>
    <t xml:space="preserve">Wc[c] * feat</t>
  </si>
  <si>
    <t xml:space="preserve">Wp[c] * z_ctx</t>
  </si>
  <si>
    <t xml:space="preserve">z_tgt</t>
  </si>
  <si>
    <t xml:space="preserve">Wt[c] * feat(t+1)</t>
  </si>
  <si>
    <t xml:space="preserve">feat, Wt</t>
  </si>
  <si>
    <t xml:space="preserve">ema</t>
  </si>
  <si>
    <t xml:space="preserve">Wt &lt;- 0.999*Wt + 0.001*Wc</t>
  </si>
  <si>
    <t xml:space="preserve">z_pred, z_tgt</t>
  </si>
  <si>
    <t xml:space="preserve">loss</t>
  </si>
  <si>
    <t xml:space="preserve">mean((z_pred - z_tgt)^2), grads clipped [-1,1]</t>
  </si>
  <si>
    <t xml:space="preserve">energy</t>
  </si>
  <si>
    <t xml:space="preserve">channel-3 per mesh cell</t>
  </si>
  <si>
    <t xml:space="preserve">flux</t>
  </si>
  <si>
    <t xml:space="preserve">sum_i lambda * exp(-((mc-ni)^2)/kappaSq) * (e_i - e)</t>
  </si>
  <si>
    <t xml:space="preserve">totals</t>
  </si>
  <si>
    <t xml:space="preserve">{total, variance} over active buffer; variance non-increasing</t>
  </si>
  <si>
    <t xml:space="preserve">surprise_z</t>
  </si>
  <si>
    <t xml:space="preserve">percentile-z concentration over sampled cells</t>
  </si>
  <si>
    <t xml:space="preserve">re-verify registration masked-sha + mtime at startup; refuse otherwise</t>
  </si>
  <si>
    <t xml:space="preserve">chain</t>
  </si>
  <si>
    <t xml:space="preserve">append receipt row; tip = sha(prev:body:id)</t>
  </si>
  <si>
    <t xml:space="preserve">loss, surprise_z</t>
  </si>
  <si>
    <t xml:space="preserve">verdict</t>
  </si>
  <si>
    <t xml:space="preserve">scorecard over claims; honest FAILs carried</t>
  </si>
  <si>
    <t xml:space="preserve">coord</t>
  </si>
  <si>
    <t xml:space="preserve">(k, s) integers only — TypeError otherwise</t>
  </si>
  <si>
    <t xml:space="preserve">q</t>
  </si>
  <si>
    <t xml:space="preserve">Q16(num, den) coprime; from_float refuses unrepresentable</t>
  </si>
  <si>
    <t xml:space="preserve">floor</t>
  </si>
  <si>
    <t xml:space="preserve">|delta| &gt;= hook.floor (Q16) else silent_deadband</t>
  </si>
  <si>
    <t xml:space="preserve">when</t>
  </si>
  <si>
    <t xml:space="preserve">hook.when(state); exception -&gt; True (wake)</t>
  </si>
  <si>
    <t xml:space="preserve">state</t>
  </si>
  <si>
    <t xml:space="preserve">backend</t>
  </si>
  <si>
    <t xml:space="preserve">router</t>
  </si>
  <si>
    <t xml:space="preserve">auto -&gt; q16 -&gt; openjev-local -&gt; typesafe-api</t>
  </si>
  <si>
    <t xml:space="preserve">ai</t>
  </si>
  <si>
    <t xml:space="preserve">Choice | Score | Noul in one pass</t>
  </si>
  <si>
    <t xml:space="preserve">backend, state</t>
  </si>
  <si>
    <t xml:space="preserve">viable</t>
  </si>
  <si>
    <t xml:space="preserve">confidence &gt; 0.0 (Law 5 binary floor)</t>
  </si>
  <si>
    <t xml:space="preserve">project</t>
  </si>
  <si>
    <t xml:space="preserve">Projection(to, as_type) only if viable; else booked REJECTED</t>
  </si>
  <si>
    <t xml:space="preserve">book</t>
  </si>
  <si>
    <t xml:space="preserve">append Receipt(tick, state_hash, delta_hash, kind, payload_hash)</t>
  </si>
  <si>
    <t xml:space="preserve">sha</t>
  </si>
  <si>
    <t xml:space="preserve">fnv1a64 over UTF-8 of tick|state|delta|kind|payload_hash[|decision]</t>
  </si>
  <si>
    <t xml:space="preserve">replay</t>
  </si>
  <si>
    <t xml:space="preserve">rebuild state from book on wake (replay == live)</t>
  </si>
  <si>
    <t xml:space="preserve">wake_log</t>
  </si>
  <si>
    <t xml:space="preserve">every emit logs WakeResult(woke, reason)</t>
  </si>
  <si>
    <t xml:space="preserve">floor, when</t>
  </si>
  <si>
    <t xml:space="preserve">link</t>
  </si>
  <si>
    <t xml:space="preserve">boundary row: circuit + sha256(micromoth.py) pin + shots plan</t>
  </si>
  <si>
    <t xml:space="preserve">gate_row</t>
  </si>
  <si>
    <t xml:space="preserve">BIND {op, qubits, theta?} from qc.data on sync</t>
  </si>
  <si>
    <t xml:space="preserve">sugar</t>
  </si>
  <si>
    <t xml:space="preserve">y/z/ry/t decompose to primitives at append; never stored</t>
  </si>
  <si>
    <t xml:space="preserve">tick</t>
  </si>
  <si>
    <t xml:space="preserve">close qubit-disjoint layer; depth++</t>
  </si>
  <si>
    <t xml:space="preserve">effect</t>
  </si>
  <si>
    <t xml:space="preserve">readout (wiring) or collapse {shot, outcome, seed|null}</t>
  </si>
  <si>
    <t xml:space="preserve">view</t>
  </si>
  <si>
    <t xml:space="preserve">digest of statevector/probabilities view</t>
  </si>
  <si>
    <t xml:space="preserve">proof</t>
  </si>
  <si>
    <t xml:space="preserve">sha256 of rounded amplitude pairs</t>
  </si>
  <si>
    <t xml:space="preserve">forget</t>
  </si>
  <si>
    <t xml:space="preserve">tombstone append naming erased collapse ids</t>
  </si>
  <si>
    <t xml:space="preserve">fnv1a64(canon({seq,op,kind,args,prev}))</t>
  </si>
  <si>
    <t xml:space="preserve">gate_row, tick</t>
  </si>
  <si>
    <t xml:space="preserve">prev</t>
  </si>
  <si>
    <t xml:space="preserve">parent row id; genesis 0000000000000000</t>
  </si>
  <si>
    <t xml:space="preserve">verify</t>
  </si>
  <si>
    <t xml:space="preserve">chain walk from genesis; first violated row</t>
  </si>
  <si>
    <t xml:space="preserve">prev, id</t>
  </si>
  <si>
    <t xml:space="preserve">anchor</t>
  </si>
  <si>
    <t xml:space="preserve">(tip, rows) published pair must match</t>
  </si>
  <si>
    <t xml:space="preserve">rebuild QuantumCircuit from rows only; simulate() == oracle</t>
  </si>
  <si>
    <t xml:space="preserve">g_ops</t>
  </si>
  <si>
    <t xml:space="preserve">OPS = [LINK,BIND,TICK,EFFECT,VIEW,FORGET,PROOF]</t>
  </si>
  <si>
    <t xml:space="preserve">g_cellmap</t>
  </si>
  <si>
    <t xml:space="preserve">cell(ctx) = lattice[fnv1a64(ctx) % 61]</t>
  </si>
  <si>
    <t xml:space="preserve">g_deform</t>
  </si>
  <si>
    <t xml:space="preserve">cell.G += 0.4*gamma; cell.E += 0.4*(1-gamma); cell.D += 0.4*delta; cell.aSum += 0.4</t>
  </si>
  <si>
    <t xml:space="preserve">g_observe</t>
  </si>
  <si>
    <t xml:space="preserve">on labeled receipt: journal+={kind:'observe'}; observed[ctx][op]++  (the ONLY collapse)</t>
  </si>
  <si>
    <t xml:space="preserve">g_prior</t>
  </si>
  <si>
    <t xml:space="preserve">prior(ctx) = sum_{d&lt;=2} (G/aSum)/(1+d) * opVotes / total (uniform fallback)</t>
  </si>
  <si>
    <t xml:space="preserve">g_deform, g_observe</t>
  </si>
  <si>
    <t xml:space="preserve">g_hashfeat</t>
  </si>
  <si>
    <t xml:space="preserve">hashFeatures(tokens): k=3 window -&gt; 2^11 buckets, L2-normalised</t>
  </si>
  <si>
    <t xml:space="preserve">g_sgd</t>
  </si>
  <si>
    <t xml:space="preserve">W,b &lt;- 12 epochs SGD(lr=0.5, wd=1e-4, clip=5), r6 per epoch</t>
  </si>
  <si>
    <t xml:space="preserve">g_gate</t>
  </si>
  <si>
    <t xml:space="preserve">PROMOTE iff min_gain&gt;=+0.02 AND worst_gain&gt;=-0.05; else REVIEW/DISCARD</t>
  </si>
  <si>
    <t xml:space="preserve">g_weave</t>
  </si>
  <si>
    <t xml:space="preserve">weaveIfIdle: diff journal -&gt; train challengers -&gt; gate -&gt; artifact{sha256, journal_tip}</t>
  </si>
  <si>
    <t xml:space="preserve">g_gate, g_prior</t>
  </si>
  <si>
    <t xml:space="preserve">g_judge</t>
  </si>
  <si>
    <t xml:space="preserve">api</t>
  </si>
  <si>
    <t xml:space="preserve">judge(state, questions) -&gt; {answers(noul/choice/score), escalate: top.p&lt;0.55, usage}</t>
  </si>
  <si>
    <t xml:space="preserve">g_budget</t>
  </si>
  <si>
    <t xml:space="preserve">budget.grant(escalate): spent&lt;cap ? grant : refuse+budget_exhausted (counted)</t>
  </si>
  <si>
    <t xml:space="preserve">g_teacher</t>
  </si>
  <si>
    <t xml:space="preserve">teacherJudge -&gt; usage receipt appended to growth journal (fail-closed without key)</t>
  </si>
  <si>
    <t xml:space="preserve">j_k</t>
  </si>
  <si>
    <t xml:space="preserve">k = 2.0 (default surprise multiplier, per-call overridable)</t>
  </si>
  <si>
    <t xml:space="preserve">j_profile</t>
  </si>
  <si>
    <t xml:space="preserve">profile(text) -&gt; {vowels,cons,digits,sep,other} as Q16 shares</t>
  </si>
  <si>
    <t xml:space="preserve">j_gain</t>
  </si>
  <si>
    <t xml:space="preserve">klGain(base, reading) = Σ p·log(p/q) over shared support</t>
  </si>
  <si>
    <t xml:space="preserve">j_gainstrict</t>
  </si>
  <si>
    <t xml:space="preserve">klGainStrict: vanished/novel mass counts at full weight</t>
  </si>
  <si>
    <t xml:space="preserve">j_thresh</t>
  </si>
  <si>
    <t xml:space="preserve">threshold = mean(accepted) + k·σ(accepted)  (EWMA variant over ALL pulls)</t>
  </si>
  <si>
    <t xml:space="preserve">j_router</t>
  </si>
  <si>
    <t xml:space="preserve">next(): seed if no belief; silence if gain&lt;=th; event + belief update if gain&gt;th</t>
  </si>
  <si>
    <t xml:space="preserve">j_gain, j_thresh</t>
  </si>
  <si>
    <t xml:space="preserve">j_ledger</t>
  </si>
  <si>
    <t xml:space="preserve">ledger.book(state, payload, kind) on EVERY pull outcome; fnv1a64 chain</t>
  </si>
  <si>
    <t xml:space="preserve">j_scan</t>
  </si>
  <si>
    <t xml:space="preserve">scanLedger -&gt; TAMPER/EMPTY/QUIET/ALIVE + admission %</t>
  </si>
  <si>
    <t xml:space="preserve">j_throttle</t>
  </si>
  <si>
    <t xml:space="preserve">Throttle.call: shed (receipted) vs escalate (fn runs) — ratchet after one admission</t>
  </si>
  <si>
    <t xml:space="preserve">j_gainstrict, j_thresh</t>
  </si>
  <si>
    <t xml:space="preserve">j_governor</t>
  </si>
  <si>
    <t xml:space="preserve">MergeGovernor.consider: seed | merged | merged-divergent(+restLen) | held</t>
  </si>
  <si>
    <t xml:space="preserve">j_profile, j_thresh</t>
  </si>
  <si>
    <t xml:space="preserve">j_distill</t>
  </si>
  <si>
    <t xml:space="preserve">distill: CITATION + DUP + JEV GATE + WELL-FORMEDNESS -&gt; CANON stub</t>
  </si>
  <si>
    <t xml:space="preserve">j_throttle, j_ledger</t>
  </si>
  <si>
    <t xml:space="preserve">j_dream</t>
  </si>
  <si>
    <t xml:space="preserve">consolidateMemory: old WAL tail -&gt; summary + receipt; originals relocated</t>
  </si>
  <si>
    <t xml:space="preserve">x_lattice</t>
  </si>
  <si>
    <t xml:space="preserve">cells = {(q,r) : hexDist(q,r,0,0) &lt;= 4}  (61 cells, open by default)</t>
  </si>
  <si>
    <t xml:space="preserve">x_cell</t>
  </si>
  <si>
    <t xml:space="preserve">cell = {gamma:0, eta:1, delta:0.5, prob_mass:1, G,E,D,aSum, frags, programs, touched}</t>
  </si>
  <si>
    <t xml:space="preserve">x_softwrite</t>
  </si>
  <si>
    <t xml:space="preserve">softWrite: cell.a = 0.6*cell.a + 0.4*a  (seed arm, order-dependent)</t>
  </si>
  <si>
    <t xml:space="preserve">x_accum</t>
  </si>
  <si>
    <t xml:space="preserve">accumulate: cell.G += 0.4*g; cell.E += 0.4*e; cell.D += 0.4*d; cell.aSum += 0.4  (commutative)</t>
  </si>
  <si>
    <t xml:space="preserve">x_emit</t>
  </si>
  <si>
    <t xml:space="preserve">jevEmit(q,r,g,e,d,{backend,tag,program}) -&gt; policy write + frag + chained deform row</t>
  </si>
  <si>
    <t xml:space="preserve">x_softwrite, x_accum</t>
  </si>
  <si>
    <t xml:space="preserve">x_refuse</t>
  </si>
  <si>
    <t xml:space="preserve">policy='refuse': postG+postE &gt; 1+1e-12 ? chained refusal (counted) : write lands</t>
  </si>
  <si>
    <t xml:space="preserve">x_observe</t>
  </si>
  <si>
    <t xml:space="preserve">observe(q,r,definite): prob_mass=0, delta_override=definite, chained observe row — the ONLY collapse</t>
  </si>
  <si>
    <t xml:space="preserve">x_program</t>
  </si>
  <si>
    <t xml:space="preserve">attachProgram + tick(t): every/at refreshes as alpha=0.2 soft emits tagged program:&lt;id&gt;</t>
  </si>
  <si>
    <t xml:space="preserve">x_sense</t>
  </si>
  <si>
    <t xml:space="preserve">sense(): Sigma, Sigma_normed, max_cell_Sigma, zone, prob_open, counts, chain_tip (pure)</t>
  </si>
  <si>
    <t xml:space="preserve">x_accum, x_observe</t>
  </si>
  <si>
    <t xml:space="preserve">x_project</t>
  </si>
  <si>
    <t xml:space="preserve">project(observer) -&gt; exoj-projection-v1 slice; appends ZERO rows</t>
  </si>
  <si>
    <t xml:space="preserve">x_save</t>
  </si>
  <si>
    <t xml:space="preserve">save(path) / ExoJ.load(path): exoj-shell-v1 with cells_raw + full chain + tip</t>
  </si>
  <si>
    <t xml:space="preserve">x_chain</t>
  </si>
  <si>
    <t xml:space="preserve">row_hash = sha256(canonicalJSON([prev_tip, row])); verifyChain from EXOJ-GENESIS</t>
  </si>
  <si>
    <t xml:space="preserve">x_emit, x_observe, x_refuse</t>
  </si>
  <si>
    <t xml:space="preserve">f_seed</t>
  </si>
  <si>
    <t xml:space="preserve">seeds/*.md -&gt; seedbox hopper (14 charters of record on disk)</t>
  </si>
  <si>
    <t xml:space="preserve">f_charter</t>
  </si>
  <si>
    <t xml:space="preserve">README(spawn) = HEADER + seed.verbatim + DOCTRINE(5 laws) + first-lane checklist</t>
  </si>
  <si>
    <t xml:space="preserve">f_spawn</t>
  </si>
  <si>
    <t xml:space="preserve">spawn(seed, slug): scaffold 6 files -&gt; git init -&gt; commit 'charter verbatim' (1 commit)</t>
  </si>
  <si>
    <t xml:space="preserve">f_ci</t>
  </si>
  <si>
    <t xml:space="preserve">on push: node smoke.mjs -&gt; 'SMOKE OK (n/n)' + exit code</t>
  </si>
  <si>
    <t xml:space="preserve">f_selftest</t>
  </si>
  <si>
    <t xml:space="preserve">--selftest: spawn demo -&gt; smoke green? -&gt; cleanup -&gt; PASS + clean tree</t>
  </si>
  <si>
    <t xml:space="preserve">f_spawn, f_ci</t>
  </si>
  <si>
    <t xml:space="preserve">f_lineage</t>
  </si>
  <si>
    <t xml:space="preserve">seed-grok2.md == exoj charter (byte-for-byte lineage proof)</t>
  </si>
  <si>
    <t xml:space="preserve">f_lode</t>
  </si>
  <si>
    <t xml:space="preserve">scout -&gt; extract -&gt; score -&gt; register(sealed prediction + mine id) -&gt; lane -&gt; fold</t>
  </si>
  <si>
    <t xml:space="preserve">f_validate</t>
  </si>
  <si>
    <t xml:space="preserve">lode_validate: schema + hash + append-only, exit 2 fail-closed, tamper self-tests</t>
  </si>
  <si>
    <t xml:space="preserve">f_registry</t>
  </si>
  <si>
    <t xml:space="preserve">registry.jsonl: {set_id, repo, commit, verdict, seal ref, ts} append-only</t>
  </si>
  <si>
    <t xml:space="preserve">f_tavern</t>
  </si>
  <si>
    <t xml:space="preserve">round: predictions -&gt; answers -&gt; stone-v1 sealed ledger + refs</t>
  </si>
  <si>
    <t xml:space="preserve">f_rollup</t>
  </si>
  <si>
    <t xml:space="preserve">witness-roller: ALL fleet chains -&gt; one parented witness chain verified by unmodified wave-44</t>
  </si>
  <si>
    <t xml:space="preserve">f_map</t>
  </si>
  <si>
    <t xml:space="preserve">FLEET.md = quilt-links --graph: 17 repos, 27 typed edges</t>
  </si>
  <si>
    <t xml:space="preserve">env.truth</t>
  </si>
  <si>
    <t xml:space="preserve">world observation cell (set by the seasonal loop)</t>
  </si>
  <si>
    <t xml:space="preserve">ex1.b3.est</t>
  </si>
  <si>
    <t xml:space="preserve">factor-1 endorsement of branch 3 (copied with mutated seed by spreader)</t>
  </si>
  <si>
    <t xml:space="preserve">br3.whisper</t>
  </si>
  <si>
    <t xml:space="preserve">bus.whisper({topic:'b3:wins', from:'ex1', p, n, ttl})</t>
  </si>
  <si>
    <t xml:space="preserve">w.ex1</t>
  </si>
  <si>
    <t xml:space="preserve">HedgeTrust weight of sender ex1 (written back each season)</t>
  </si>
  <si>
    <t xml:space="preserve">infl.ex1</t>
  </si>
  <si>
    <t xml:space="preserve">w.ex1 * min((1-s.ex1)*(0.25+0.75*nov.ex1), tagCap(w.ex1))</t>
  </si>
  <si>
    <t xml:space="preserve">pool.b3</t>
  </si>
  <si>
    <t xml:space="preserve">sigmoid( sum(infl_i * n_i * logit(p_i)) / sum(infl_i * n_i) )</t>
  </si>
  <si>
    <t xml:space="preserve">infl.ex1, br3.whisper</t>
  </si>
  <si>
    <t xml:space="preserve">tag.e1</t>
  </si>
  <si>
    <t xml:space="preserve">provenance.inspect(): relay if declared-origin verified | echo if edge-rate&gt;=0.8 &amp; mirror-guard | dup if flat&amp;redundant | clean</t>
  </si>
  <si>
    <t xml:space="preserve">admit.bar</t>
  </si>
  <si>
    <t xml:space="preserve">age&gt;=40 &amp;&amp; indepEdges&gt;=2 &amp;&amp; devMean&lt;=0.5 ? admitted : probationary(x0.15)</t>
  </si>
  <si>
    <t xml:space="preserve">cap.share</t>
  </si>
  <si>
    <t xml:space="preserve">probMass &lt;= 0.10 * totalMass (fixed-point redistribution)</t>
  </si>
  <si>
    <t xml:space="preserve">admit.bar, infl.ex1</t>
  </si>
  <si>
    <t xml:space="preserve">t.f.update</t>
  </si>
  <si>
    <t xml:space="preserve">w_i &lt;- normalize(((1-a)w_i + a/N) * exp(eta*r_i)); absorb(echoPenalty)</t>
  </si>
  <si>
    <t xml:space="preserve">pool.b3, tag.e1</t>
  </si>
  <si>
    <t xml:space="preserve">r.order</t>
  </si>
  <si>
    <t xml:space="preserve">Kuramoto order parameter over alive branches' phases</t>
  </si>
  <si>
    <t xml:space="preserve">gardener.temp</t>
  </si>
  <si>
    <t xml:space="preserve">policy(r, H, regretDr, alive, credits) -&gt; {temp, pruneFloor, spawn, graftAggr}</t>
  </si>
  <si>
    <t xml:space="preserve">r.order, w.ex1</t>
  </si>
  <si>
    <t xml:space="preserve">mesh.scar</t>
  </si>
  <si>
    <t xml:space="preserve">on pool flip: runtime.set('scar.memory', ...) — reflexes write their own memory</t>
  </si>
  <si>
    <t xml:space="preserve">receipts.jsonl</t>
  </si>
  <si>
    <t xml:space="preserve">append-only fnv1a64 witness chain; row_hash = hash(prev, row)</t>
  </si>
  <si>
    <t xml:space="preserve">t.f.update, gardener.temp</t>
  </si>
  <si>
    <t xml:space="preserve">pinch.in</t>
  </si>
  <si>
    <t xml:space="preserve">{trigger, context, safety} arrives from the platform</t>
  </si>
  <si>
    <t xml:space="preserve">pinch.emb</t>
  </si>
  <si>
    <t xml:space="preserve">embedder.embed(pinch.trigger)</t>
  </si>
  <si>
    <t xml:space="preserve">match.top5</t>
  </si>
  <si>
    <t xml:space="preserve">store.query(pinch.emb, 5) -&gt; [{reflex, score}]</t>
  </si>
  <si>
    <t xml:space="preserve">pinch.emb, store.db</t>
  </si>
  <si>
    <t xml:space="preserve">match.route</t>
  </si>
  <si>
    <t xml:space="preserve">score&gt;=0.80 ? HIT : score&gt;=0.55 ? CONFIRM : COMPILE</t>
  </si>
  <si>
    <t xml:space="preserve">veto.gate</t>
  </si>
  <si>
    <t xml:space="preserve">watches execute paths; refuses escalation (network/filesystem/sandbox) before any run</t>
  </si>
  <si>
    <t xml:space="preserve">execute.fn</t>
  </si>
  <si>
    <t xml:space="preserve">new Function('pinch', action) raced vs executionTimeoutMs=5000</t>
  </si>
  <si>
    <t xml:space="preserve">veto.gate, match.top5</t>
  </si>
  <si>
    <t xml:space="preserve">compile.ai</t>
  </si>
  <si>
    <t xml:space="preserve">compiler.compile(pinch) -&gt; {intent, action} (no-op / error when keyless)</t>
  </si>
  <si>
    <t xml:space="preserve">store.db</t>
  </si>
  <si>
    <t xml:space="preserve">MemoryReflexStore(+upstream mirror) | SqliteReflexStore | EmbeddedNail</t>
  </si>
  <si>
    <t xml:space="preserve">reflex.conf</t>
  </si>
  <si>
    <t xml:space="preserve">min(0.99, 0.5 + 0.49*log10(1+hits))</t>
  </si>
  <si>
    <t xml:space="preserve">result.out</t>
  </si>
  <si>
    <t xml:space="preserve">{kind: hit|confirm|compiled|vetoed|error, latencyMs}</t>
  </si>
  <si>
    <t xml:space="preserve">execute.fn, compile.ai, veto.gate</t>
  </si>
  <si>
    <t xml:space="preserve">nail.export</t>
  </si>
  <si>
    <t xml:space="preserve">exportNail()/buildNail() -&gt; content-addressed .nail bundle</t>
  </si>
  <si>
    <t xml:space="preserve">tier.sheet</t>
  </si>
  <si>
    <t xml:space="preserve">platform default: cloud | workstation | esp32</t>
  </si>
  <si>
    <t xml:space="preserve">lure.md</t>
  </si>
  <si>
    <t xml:space="preserve">a lure = markdown prompt; 45 content lures in 18 categories, bundled at deploy</t>
  </si>
  <si>
    <t xml:space="preserve">catch.in</t>
  </si>
  <si>
    <t xml:space="preserve">bot's structured submission lands in D1 catches</t>
  </si>
  <si>
    <t xml:space="preserve">edge.canon</t>
  </si>
  <si>
    <t xml:space="preserve">canonicalJson(edge minus chain): keys sorted, integers bare, non-finite throws</t>
  </si>
  <si>
    <t xml:space="preserve">edge.seal</t>
  </si>
  <si>
    <t xml:space="preserve">edge_hash = sha256_hex(edge.canon)</t>
  </si>
  <si>
    <t xml:space="preserve">edge.link</t>
  </si>
  <si>
    <t xml:space="preserve">chain === prior.cell-head else 409 'chain broken' + expected_head</t>
  </si>
  <si>
    <t xml:space="preserve">edge.seal, store.head</t>
  </si>
  <si>
    <t xml:space="preserve">store.head</t>
  </si>
  <si>
    <t xml:space="preserve">per-cell chain head (last edge_hash) in D1 ledger_edges</t>
  </si>
  <si>
    <t xml:space="preserve">verify.walk</t>
  </si>
  <si>
    <t xml:space="preserve">recompute every seal + link oldest-first; report first_break with ts</t>
  </si>
  <si>
    <t xml:space="preserve">plaque.seal</t>
  </si>
  <si>
    <t xml:space="preserve">sha256(canonicalJson(PLAQUE-nine-fields))</t>
  </si>
  <si>
    <t xml:space="preserve">arena.ack</t>
  </si>
  <si>
    <t xml:space="preserve">ack === plaque.seal ? consent receipt + ticket : tarpit(n)</t>
  </si>
  <si>
    <t xml:space="preserve">credit.rate</t>
  </si>
  <si>
    <t xml:space="preserve">CREDIT_RATES: kinds priced before the fact; amounts &gt; 0; balance &gt;= 0</t>
  </si>
  <si>
    <t xml:space="preserve">credit.edge</t>
  </si>
  <si>
    <t xml:space="preserve">before + signed === after (imbalance 0), sealed like any edge</t>
  </si>
  <si>
    <t xml:space="preserve">credit.rate, edge.link</t>
  </si>
  <si>
    <t xml:space="preserve">mint.grow</t>
  </si>
  <si>
    <t xml:space="preserve">catch#5 -&gt; object(noun); catch#12 -&gt; room(fragment); UNIQUE+OR IGNORE</t>
  </si>
  <si>
    <t xml:space="preserve">second.reader</t>
  </si>
  <si>
    <t xml:space="preserve">independent walker re-derives stone-v1 + witness chains from the law; AGREE/DISAGREE</t>
  </si>
  <si>
    <t xml:space="preserve">selftest.gate</t>
  </si>
  <si>
    <t xml:space="preserve">12 controls fail-closed: tamper-&gt;DISAGREE, clean-&gt;AGREE, else exit nonzero</t>
  </si>
  <si>
    <t xml:space="preserve">canonical</t>
  </si>
  <si>
    <t xml:space="preserve">sorted-keys serialization; throw on undefined/NaN/bigint/function/symbol</t>
  </si>
  <si>
    <t xml:space="preserve">sha256hex</t>
  </si>
  <si>
    <t xml:space="preserve">crypto.subtle.digest('SHA-256') → hex</t>
  </si>
  <si>
    <t xml:space="preserve">detectDialect</t>
  </si>
  <si>
    <t xml:space="preserve">bundle.schema==canonical ? CANONICAL : bundle.schemaVersion==legacy ? LEGACY : null</t>
  </si>
  <si>
    <t xml:space="preserve">manifest law + 3 commitment levels + receipt chain → {ok, errors[]}</t>
  </si>
  <si>
    <t xml:space="preserve">canonical, sha256hex</t>
  </si>
  <si>
    <t xml:space="preserve">checkCanonicalReceiptChain</t>
  </si>
  <si>
    <t xml:space="preserve">full window; hash re-derivation per receipt</t>
  </si>
  <si>
    <t xml:space="preserve">authOk</t>
  </si>
  <si>
    <t xml:space="preserve">sha256(presented) == sha256(env.WORKER_UPLOAD_TOKEN)</t>
  </si>
  <si>
    <t xml:space="preserve">contentAddress</t>
  </si>
  <si>
    <t xml:space="preserve">id = sha256hex(canonical(manifest)) — server-side only</t>
  </si>
  <si>
    <t xml:space="preserve">putOrgan</t>
  </si>
  <si>
    <t xml:space="preserve">KV organ:{id} + meta:{id}; idempotent on existing id</t>
  </si>
  <si>
    <t xml:space="preserve">validateCanonicalBundle, contentAddress, authOk</t>
  </si>
  <si>
    <t xml:space="preserve">verifyEndpoint</t>
  </si>
  <si>
    <t xml:space="preserve">recompute all commitments → {bootable, reason, dialect}</t>
  </si>
  <si>
    <t xml:space="preserve">canonical, sha256hex, checkCanonicalReceiptChain</t>
  </si>
  <si>
    <t xml:space="preserve">runCycle</t>
  </si>
  <si>
    <t xml:space="preserve">list meta:*, independently re-derive each, write watch:{id} + _lastRun (tri-state drift)</t>
  </si>
  <si>
    <t xml:space="preserve">statusDashboard</t>
  </si>
  <si>
    <t xml:space="preserve">GET /status → every last check + fleetHealth summary</t>
  </si>
  <si>
    <t xml:space="preserve">parseScore</t>
  </si>
  <si>
    <t xml:space="preserve">match 'SCORE: n/10' (first line preferred), clamp [0,10], report hasContractLine</t>
  </si>
  <si>
    <t xml:space="preserve">judgeFanOut</t>
  </si>
  <si>
    <t xml:space="preserve">Promise.all over ≤8 judges → DeepInfra chat/completions + aggregate spread</t>
  </si>
  <si>
    <t xml:space="preserve">authOk, parseScore</t>
  </si>
  <si>
    <t xml:space="preserve">validateDialectHarness</t>
  </si>
  <si>
    <t xml:space="preserve">run worker exports + toolkit primitives over one fixture + negative controls; exit 0 iff all pass</t>
  </si>
  <si>
    <t xml:space="preserve">validateCanonicalBundle, canonical</t>
  </si>
  <si>
    <t xml:space="preserve">canonicalJson</t>
  </si>
  <si>
    <t xml:space="preserve">sorted-keys UTF-8 serialization; throws on undefined/NaN/function at path</t>
  </si>
  <si>
    <t xml:space="preserve">receiptHash</t>
  </si>
  <si>
    <t xml:space="preserve">sha256(canon({seq, op, prev}))</t>
  </si>
  <si>
    <t xml:space="preserve">cellsStateHash</t>
  </si>
  <si>
    <t xml:space="preserve">sha256(canon(cells)); per-cell sha256Json({kind,value})</t>
  </si>
  <si>
    <t xml:space="preserve">sha256(canon(manifest minus manifestHash))</t>
  </si>
  <si>
    <t xml:space="preserve">applyOp</t>
  </si>
  <si>
    <t xml:space="preserve">deterministic op evaluator on cells</t>
  </si>
  <si>
    <t xml:space="preserve">verifyChain</t>
  </si>
  <si>
    <t xml:space="preserve">contiguity + prev linkage + hash recompute over the window</t>
  </si>
  <si>
    <t xml:space="preserve">snapshot</t>
  </si>
  <si>
    <t xml:space="preserve">freeze {manifest, state, receipts} into a self-proving bundle</t>
  </si>
  <si>
    <t xml:space="preserve">cellsStateHash, manifestHash</t>
  </si>
  <si>
    <t xml:space="preserve">courtroom</t>
  </si>
  <si>
    <t xml:space="preserve">chain verify + replay==carried, re-run before ANY verb</t>
  </si>
  <si>
    <t xml:space="preserve">verifyChain, applyOp, cellsStateHash</t>
  </si>
  <si>
    <t xml:space="preserve">boot</t>
  </si>
  <si>
    <t xml:space="preserve">manifest law → hashes → chain → anchor → replay; construct organ only if all pass</t>
  </si>
  <si>
    <t xml:space="preserve">courtroom, verifySignedCheckpoint</t>
  </si>
  <si>
    <t xml:space="preserve">stateAtRewind</t>
  </si>
  <si>
    <t xml:space="preserve">stateAt: pure prefix replay + provenance; rewind: pure view on bundles, truncate+rebuild+continue-same-chain on organs</t>
  </si>
  <si>
    <t xml:space="preserve">courtroom, applyOp</t>
  </si>
  <si>
    <t xml:space="preserve">transact</t>
  </si>
  <si>
    <t xml:space="preserve">PREPARE detached / COMMIT once via snapshot + self-verify</t>
  </si>
  <si>
    <t xml:space="preserve">snapshot, courtroom</t>
  </si>
  <si>
    <t xml:space="preserve">verifyDoubleEntry</t>
  </si>
  <si>
    <t xml:space="preserve">debits ↔ live credits balance; rewind evidence revocation; seed-aware</t>
  </si>
  <si>
    <t xml:space="preserve">applyOp, stateAtRewind</t>
  </si>
  <si>
    <t xml:space="preserve">signCheckpoint</t>
  </si>
  <si>
    <t xml:space="preserve">courtroom first, replay prefix once, HMAC canonical({hash,manifestHash,seq})</t>
  </si>
  <si>
    <t xml:space="preserve">courtroom, snapshot</t>
  </si>
  <si>
    <t xml:space="preserve">verifySignedCheckpoint</t>
  </si>
  <si>
    <t xml:space="preserve">structure + alg allow-list + HMAC under key</t>
  </si>
  <si>
    <t xml:space="preserve">carvePartialCustody</t>
  </si>
  <si>
    <t xml:space="preserve">re-derive prefix manifest, cut [seq+1..tip] + seed + signed checkpoint</t>
  </si>
  <si>
    <t xml:space="preserve">verifySignedCheckpoint, snapshot</t>
  </si>
  <si>
    <t xml:space="preserve">keys-sorted recursive JSON.stringify (arrays in order)</t>
  </si>
  <si>
    <t xml:space="preserve">receiptId</t>
  </si>
  <si>
    <t xml:space="preserve">sha256('qmr1:'+seq+':'+prev+':'+canonical(body))</t>
  </si>
  <si>
    <t xml:space="preserve">receiptSig</t>
  </si>
  <si>
    <t xml:space="preserve">hmac-sha256(SECRET,'qmr1:sig:'+id)</t>
  </si>
  <si>
    <t xml:space="preserve">loadStore</t>
  </si>
  <si>
    <t xml:space="preserve">read store.jsonl each call; JSON.parse per line; collect corrupted_lines</t>
  </si>
  <si>
    <t xml:space="preserve">re-derive every row from genesis; first failure wins with named code at at_seq</t>
  </si>
  <si>
    <t xml:space="preserve">loadStore, receiptId, receiptSig</t>
  </si>
  <si>
    <t xml:space="preserve">validateAppend</t>
  </si>
  <si>
    <t xml:space="preserve">structure→body→seq(tip+1)→prev(tip.id)→id→sig; first refusal wins</t>
  </si>
  <si>
    <t xml:space="preserve">appendLine</t>
  </si>
  <si>
    <t xml:space="preserve">fs.appendFileSync(STORE, JSON.stringify(receipt)+'\n')</t>
  </si>
  <si>
    <t xml:space="preserve">handleLine</t>
  </si>
  <si>
    <t xml:space="preserve">JSON.parse or -32700; notifications silent; dispatch by method</t>
  </si>
  <si>
    <t xml:space="preserve">initialize</t>
  </si>
  <si>
    <t xml:space="preserve">protocolVersion negotiation + capabilities {tools:{listChanged:false}} + serverInfo</t>
  </si>
  <si>
    <t xml:space="preserve">read_receipts</t>
  </si>
  <si>
    <t xml:space="preserve">filter seq&gt;since_seq, slice limit, surface corrupted_lines</t>
  </si>
  <si>
    <t xml:space="preserve">append_receipt</t>
  </si>
  <si>
    <t xml:space="preserve">validate then append; return {ok,seq,id,tip,dialect} or isError named code</t>
  </si>
  <si>
    <t xml:space="preserve">validateAppend, appendLine</t>
  </si>
  <si>
    <t xml:space="preserve">seedDemo</t>
  </si>
  <si>
    <t xml:space="preserve">seed 5 fleet receipts only into an empty, uncorrupted store</t>
  </si>
  <si>
    <t xml:space="preserve">artifact</t>
  </si>
  <si>
    <t xml:space="preserve">dated file in git (md | json | py)</t>
  </si>
  <si>
    <t xml:space="preserve">runOutput</t>
  </si>
  <si>
    <t xml:space="preserve">script writes JSON to its declared OUTPUT path</t>
  </si>
  <si>
    <t xml:space="preserve">nextSpec</t>
  </si>
  <si>
    <t xml:space="preserve">NEXT-SPRINT SPEC section + '&gt;&gt;&gt; NEXT:' trailer derived from this run's results</t>
  </si>
  <si>
    <t xml:space="preserve">lineageTable</t>
  </si>
  <si>
    <t xml:space="preserve">SPRINT-LINEAGE rows: sprint id / substrate / status / output / next</t>
  </si>
  <si>
    <t xml:space="preserve">contractCheck</t>
  </si>
  <si>
    <t xml:space="preserve">7 header sections + trailer + no-sub-agents (verified 5/5 this lane)</t>
  </si>
  <si>
    <t xml:space="preserve">artifact, nextSpec</t>
  </si>
  <si>
    <t xml:space="preserve">hypothesis</t>
  </si>
  <si>
    <t xml:space="preserve">falsifiable statement written BEFORE the experiment</t>
  </si>
  <si>
    <t xml:space="preserve">verdictRow</t>
  </si>
  <si>
    <t xml:space="preserve">recorded outcome incl. FALSIFIED (H1, quantum-chaos) — never discarded</t>
  </si>
  <si>
    <t xml:space="preserve">hypothesis, runOutput</t>
  </si>
  <si>
    <t xml:space="preserve">velocityGate</t>
  </si>
  <si>
    <t xml:space="preserve">first_stable_trial = first index where all remaining values within ±0.05 of mean</t>
  </si>
  <si>
    <t xml:space="preserve">readme</t>
  </si>
  <si>
    <t xml:space="preserve">other-agent entrypoint: what/where/how-to-run/cross-refs/status</t>
  </si>
  <si>
    <t xml:space="preserve">artifact, lineageTable</t>
  </si>
  <si>
    <t xml:space="preserve">voiceMemo</t>
  </si>
  <si>
    <t xml:space="preserve">successor header MUST reference predecessor filename (inter-relation)</t>
  </si>
  <si>
    <t xml:space="preserve">substrateFrame</t>
  </si>
  <si>
    <t xml:space="preserve">same contract instantiated per substrate (jev/moth/zai/deepinfra/quantum)</t>
  </si>
  <si>
    <t xml:space="preserve">wipeSurvival</t>
  </si>
  <si>
    <t xml:space="preserve">read most recent header → re-run → validate → write next (survives the wipe)</t>
  </si>
  <si>
    <t xml:space="preserve">mkt.ohlcv</t>
  </si>
  <si>
    <t xml:space="preserve">buildMarket(240, seed 20260925) — the ONLY input (M1)</t>
  </si>
  <si>
    <t xml:space="preserve">w.state</t>
  </si>
  <si>
    <t xml:space="preserve">{tries, wins, maxd per weight, dormant, champion, best_score}</t>
  </si>
  <si>
    <t xml:space="preserve">learn.step</t>
  </si>
  <si>
    <t xml:space="preserve">wave.spectrum</t>
  </si>
  <si>
    <t xml:space="preserve">readWave(c) — Goertzel 8..64 + resonance + trend R2 (SRC_WAVE)</t>
  </si>
  <si>
    <t xml:space="preserve">sig.proposal</t>
  </si>
  <si>
    <t xml:space="preserve">policyAt(i,...) — trend + cycle blocks, edge-triggered, conflict at 0.5 (SRC_POLICY)</t>
  </si>
  <si>
    <t xml:space="preserve">wave.spectrum, w.state</t>
  </si>
  <si>
    <t xml:space="preserve">sim.run</t>
  </si>
  <si>
    <t xml:space="preserve">full backtest of current beliefs, M1-M6, publishes receipt</t>
  </si>
  <si>
    <t xml:space="preserve">sig.proposal, mkt.ohlcv</t>
  </si>
  <si>
    <t xml:space="preserve">sim.last</t>
  </si>
  <si>
    <t xml:space="preserve">published world receipt {metrics, trades, halt, hash}</t>
  </si>
  <si>
    <t xml:space="preserve">sig.confirm</t>
  </si>
  <si>
    <t xml:space="preserve">M5 rails incl. gateLite vetoes + entanglement veto</t>
  </si>
  <si>
    <t xml:space="preserve">sim.last, moth.entangle</t>
  </si>
  <si>
    <t xml:space="preserve">met.score</t>
  </si>
  <si>
    <t xml:space="preserve">sim.last.metrics.sharpe - 2*maxdd - (n_trades&lt;3 ? 0.5 : 0)</t>
  </si>
  <si>
    <t xml:space="preserve">moth.entangle</t>
  </si>
  <si>
    <t xml:space="preserve">graph-v1 tomography read, journaled, mock-labeled</t>
  </si>
  <si>
    <t xml:space="preserve">ai.digest</t>
  </si>
  <si>
    <t xml:space="preserve">perturb 2 weights from moth.pool, accept iff strictly better (M7/M8)</t>
  </si>
  <si>
    <t xml:space="preserve">met.score, w.state, moth.pool</t>
  </si>
  <si>
    <t xml:space="preserve">ledger.rows</t>
  </si>
  <si>
    <t xml:space="preserve">fnv1a64 chain, one row per round, GENESIS-rooted</t>
  </si>
  <si>
    <t xml:space="preserve">ai.analyst</t>
  </si>
  <si>
    <t xml:space="preserve">typed ai.llm cell fenced to ONE letter A-E</t>
  </si>
  <si>
    <t xml:space="preserve">env.tasks</t>
  </si>
  <si>
    <t xml:space="preserve">4 curriculum layouts of rising spread (cluster/line/corners/scatter)</t>
  </si>
  <si>
    <t xml:space="preserve">1000 - 80*min L1 distance to a reward, clamped 0..1000</t>
  </si>
  <si>
    <t xml:space="preserve">env.state, env.tasks</t>
  </si>
  <si>
    <t xml:space="preserve">world.surprise</t>
  </si>
  <si>
    <t xml:space="preserve">|dpos|*250 + reward_miss*500 (integer)</t>
  </si>
  <si>
    <t xml:space="preserve">world.predict, env.state</t>
  </si>
  <si>
    <t xml:space="preserve">reflex.orient</t>
  </si>
  <si>
    <t xml:space="preserve">salience &gt; 800 =&gt; orient (fast path, no teacher)</t>
  </si>
  <si>
    <t xml:space="preserve">policy.action</t>
  </si>
  <si>
    <t xml:space="preserve">reflex-override -&gt; greedy + curiosity + (grown) label edge</t>
  </si>
  <si>
    <t xml:space="preserve">reflex.orient, memory.semantic, growth.done</t>
  </si>
  <si>
    <t xml:space="preserve">ledger.check</t>
  </si>
  <si>
    <t xml:space="preserve">gamma + eta &lt;= 1585 ? ok : refuse</t>
  </si>
  <si>
    <t xml:space="preserve">ledger.gamma, ledger.eta</t>
  </si>
  <si>
    <t xml:space="preserve">conservation.test</t>
  </si>
  <si>
    <t xml:space="preserve">input-driven boundary probe: 1585 ok / 1586 refuse</t>
  </si>
  <si>
    <t xml:space="preserve">teacher.jev_gate</t>
  </si>
  <si>
    <t xml:space="preserve">p = 0.5+0.5*tanh((success-0.75)*8); 0.95/0.70 thresholds, mock:true</t>
  </si>
  <si>
    <t xml:space="preserve">env.success_ring</t>
  </si>
  <si>
    <t xml:space="preserve">state.stage</t>
  </si>
  <si>
    <t xml:space="preserve">position += clamp(floor(gain/50),0,10) only while surprise declines</t>
  </si>
  <si>
    <t xml:space="preserve">qrc.source</t>
  </si>
  <si>
    <t xml:space="preserve">{mode:'offline-stream', live:false} — vault over cached real packets</t>
  </si>
  <si>
    <t xml:space="preserve">growth.log</t>
  </si>
  <si>
    <t xml:space="preserve">{stage, cells_added, parent_hash} per growth event</t>
  </si>
  <si>
    <t xml:space="preserve">q32.ONE</t>
  </si>
  <si>
    <t xml:space="preserve">1&lt;&lt;32 — fixed-point unity, seed-arch verbatim</t>
  </si>
  <si>
    <t xml:space="preserve">A</t>
  </si>
  <si>
    <t xml:space="preserve">substrate selector: Q32A (hot path) | F64A (contrast arm only)</t>
  </si>
  <si>
    <t xml:space="preserve">gate.well</t>
  </si>
  <si>
    <t xml:space="preserve">eval = (px^2+py^2)/2 - theta; grad = (px,py)</t>
  </si>
  <si>
    <t xml:space="preserve">loop.tick</t>
  </si>
  <si>
    <t xml:space="preserve">kappa; staged commit/consume; check; cross; force; integrate; record</t>
  </si>
  <si>
    <t xml:space="preserve">A, gate.well</t>
  </si>
  <si>
    <t xml:space="preserve">halt.flag</t>
  </si>
  <si>
    <t xml:space="preserve">breach =&gt; halted:true, ledger bit-unchanged, clock frozen</t>
  </si>
  <si>
    <t xml:space="preserve">journal.rows</t>
  </si>
  <si>
    <t xml:space="preserve">append-only Evt={t,p,v,g,e} — the lineage</t>
  </si>
  <si>
    <t xml:space="preserve">rewind.seed</t>
  </si>
  <si>
    <t xml:space="preserve">fold invert(j[n])..invert(j[0]) — four undos per event, no search</t>
  </si>
  <si>
    <t xml:space="preserve">egg.shell</t>
  </si>
  <si>
    <t xml:space="preserve">odd-degree boundary ids; close(S) iff empty</t>
  </si>
  <si>
    <t xml:space="preserve">egg.break</t>
  </si>
  <si>
    <t xml:space="preserve">|N| &gt; theta =&gt; emit Mode {p,v,kappa,g,e}, shell opens</t>
  </si>
  <si>
    <t xml:space="preserve">field.topo</t>
  </si>
  <si>
    <t xml:space="preserve">lattice glue + Chebyshev adjacency + union-find + topoHash</t>
  </si>
  <si>
    <t xml:space="preserve">jhash</t>
  </si>
  <si>
    <t xml:space="preserve">sha256 over canonical jline bytes — tamper evidence</t>
  </si>
  <si>
    <t xml:space="preserve">cot.samples</t>
  </si>
  <si>
    <t xml:space="preserve">3x v4-pro CoT under skeptic/engineer/teacher lenses</t>
  </si>
  <si>
    <t xml:space="preserve">seed.bits</t>
  </si>
  <si>
    <t xml:space="preserve">48 true quantum bits, per-bit fail-closed flags</t>
  </si>
  <si>
    <t xml:space="preserve">split.steps</t>
  </si>
  <si>
    <t xml:space="preserve">flash -&gt; &lt;=8 typed steps + JSON repair loop</t>
  </si>
  <si>
    <t xml:space="preserve">wire.edges</t>
  </si>
  <si>
    <t xml:space="preserve">typesafe battery: load scores + dependency choices -&gt; weighted edges</t>
  </si>
  <si>
    <t xml:space="preserve">merge.clusters</t>
  </si>
  <si>
    <t xml:space="preserve">occurrence = weight; divergences -&gt; alternate routes</t>
  </si>
  <si>
    <t xml:space="preserve">judge.verdict</t>
  </si>
  <si>
    <t xml:space="preserve">v4-pro thoroughness 0-10 + gaps; separation receipt enforced</t>
  </si>
  <si>
    <t xml:space="preserve">critique.cells</t>
  </si>
  <si>
    <t xml:space="preserve">gaps folded back as origin='critique' nodes -&gt; graph v2</t>
  </si>
  <si>
    <t xml:space="preserve">state.phase</t>
  </si>
  <si>
    <t xml:space="preserve">atomic per-phase state files, content-keyed runs</t>
  </si>
  <si>
    <t xml:space="preserve">budget.meter</t>
  </si>
  <si>
    <t xml:space="preserve">&lt;=20 provider calls; burn-guard retries at 3x budget</t>
  </si>
  <si>
    <t xml:space="preserve">keyscan.gate</t>
  </si>
  <si>
    <t xml:space="preserve">pre-push credential scan; exit 1 on un-receipted hit</t>
  </si>
  <si>
    <t xml:space="preserve">incident.record</t>
  </si>
  <si>
    <t xml:space="preserve">dead credential verbatim + justification-linked suppressions</t>
  </si>
  <si>
    <t xml:space="preserve">qc.data</t>
  </si>
  <si>
    <t xml:space="preserve">the gate list — identical object viewed as a cell chain</t>
  </si>
  <si>
    <t xml:space="preserve">bind.chain</t>
  </si>
  <si>
    <t xml:space="preserve">gate -&gt; BIND cell, prev = fnv1a64(prev cell), genesis 0x0</t>
  </si>
  <si>
    <t xml:space="preserve">sugar.guard</t>
  </si>
  <si>
    <t xml:space="preserve">y/z/ry decomposed at append; SUGAR in chain =&gt; refuse</t>
  </si>
  <si>
    <t xml:space="preserve">effect.collapse</t>
  </si>
  <si>
    <t xml:space="preserve">per-shot {shot, outcome, seed} EFFECT cells</t>
  </si>
  <si>
    <t xml:space="preserve">view.receipt</t>
  </si>
  <si>
    <t xml:space="preserve">simulate(get=...) recorded as a VIEW cell</t>
  </si>
  <si>
    <t xml:space="preserve">tick.layers</t>
  </si>
  <si>
    <t xml:space="preserve">qubit-disjoint moment partition; depth = TICK count</t>
  </si>
  <si>
    <t xml:space="preserve">seal.gate</t>
  </si>
  <si>
    <t xml:space="preserve">unseeded run =&gt; no SEALED status, ever</t>
  </si>
  <si>
    <t xml:space="preserve">sha256 per tracked file, self-excluding tool</t>
  </si>
  <si>
    <t xml:space="preserve">wow.backend</t>
  </si>
  <si>
    <t xml:space="preserve">simulated default; BYO-key real comet-qrng-v1 with honest degrade</t>
  </si>
  <si>
    <t xml:space="preserve">pins</t>
  </si>
  <si>
    <t xml:space="preserve">pytest pins: id re-derivation, tamper naming, live re-execution, Bell check</t>
  </si>
  <si>
    <t xml:space="preserve">manifest, bind.chain</t>
  </si>
  <si>
    <t xml:space="preserve">docs.snapshot</t>
  </si>
  <si>
    <t xml:space="preserve">offline HTML mirrors: intro, endpoints, 7 engine pages</t>
  </si>
  <si>
    <t xml:space="preserve">engine.menu</t>
  </si>
  <si>
    <t xml:space="preserve">engine x {version, credits/run, updated, schema}</t>
  </si>
  <si>
    <t xml:space="preserve">endpoint.contract</t>
  </si>
  <si>
    <t xml:space="preserve">base /api/v1, bearer auth, /openapi.json, 56 ops</t>
  </si>
  <si>
    <t xml:space="preserve">shape.taxonomy</t>
  </si>
  <si>
    <t xml:space="preserve">aggregate vs distinct-8bit-keys vs decode-noise-floats</t>
  </si>
  <si>
    <t xml:space="preserve">job.lifecycle</t>
  </si>
  <si>
    <t xml:space="preserve">submit -&gt; poll -&gt; fetch with job_id capture</t>
  </si>
  <si>
    <t xml:space="preserve">probe.gate</t>
  </si>
  <si>
    <t xml:space="preserve">1 tiny probe + written caps (10 jobs, 4096 bits) before harvest</t>
  </si>
  <si>
    <t xml:space="preserve">twin.micromoth</t>
  </si>
  <si>
    <t xml:space="preserve">vendored seedable statevector simulator (no key)</t>
  </si>
  <si>
    <t xml:space="preserve">twin.quantum-audio</t>
  </si>
  <si>
    <t xml:space="preserve">vendored QPAM/SQPAM/QSM schemes</t>
  </si>
  <si>
    <t xml:space="preserve">consumer.lattice</t>
  </si>
  <si>
    <t xml:space="preserve">quilt-quant + quilt-dba + MicroMoth-quilt wire the menu</t>
  </si>
  <si>
    <t xml:space="preserve">provenance.seal</t>
  </si>
  <si>
    <t xml:space="preserve">caches carry job_id/engine/backend/timestamps, zero key material</t>
  </si>
  <si>
    <t xml:space="preserve">palette.tide</t>
  </si>
  <si>
    <t xml:space="preserve">#3FE0C5 (life)</t>
  </si>
  <si>
    <t xml:space="preserve">palette.budget</t>
  </si>
  <si>
    <t xml:space="preserve">#FFC46B (economy)</t>
  </si>
  <si>
    <t xml:space="preserve">engine.sheet</t>
  </si>
  <si>
    <t xml:space="preserve">class Sheet { cell/def/watch/get } ~120 lines</t>
  </si>
  <si>
    <t xml:space="preserve">bus.emit</t>
  </si>
  <si>
    <t xml:space="preserve">on change -&gt; {sheet,id,kind,old,v} to all watchers</t>
  </si>
  <si>
    <t xml:space="preserve">guard.depth</t>
  </si>
  <si>
    <t xml:space="preserve">cascade depth bound; dead halts _set</t>
  </si>
  <si>
    <t xml:space="preserve">rng.seed</t>
  </si>
  <si>
    <t xml:space="preserve">deterministic PRNG, fixed seed</t>
  </si>
  <si>
    <t xml:space="preserve">ocean.cells</t>
  </si>
  <si>
    <t xml:space="preserve">336 value cells, (Σhₙ)/2 − h_prev, damp .99, clamp ±3</t>
  </si>
  <si>
    <t xml:space="preserve">gauge.light</t>
  </si>
  <si>
    <t xml:space="preserve">tide gauge lights the foam on threshold</t>
  </si>
  <si>
    <t xml:space="preserve">reversi.weights</t>
  </si>
  <si>
    <t xml:space="preserve">TIDE positional weights drift on loss</t>
  </si>
  <si>
    <t xml:space="preserve">holdem.pot_odds</t>
  </si>
  <si>
    <t xml:space="preserve">pot odds, cost 0 tokens</t>
  </si>
  <si>
    <t xml:space="preserve">desk.confirm</t>
  </si>
  <si>
    <t xml:space="preserve">signal is proposal; confirm cell gates entry</t>
  </si>
  <si>
    <t xml:space="preserve">desk.quantum</t>
  </si>
  <si>
    <t xml:space="preserve">rationed (mocked) quantum budget meter</t>
  </si>
  <si>
    <t xml:space="preserve">landscape.table</t>
  </si>
  <si>
    <t xml:space="preserve">scored yes/part/no vs 7 players + honest panel</t>
  </si>
  <si>
    <t xml:space="preserve">map.svg</t>
  </si>
  <si>
    <t xml:space="preserve">2x2 static-living x human-agentic plot</t>
  </si>
  <si>
    <t xml:space="preserve">qa.rounds</t>
  </si>
  <si>
    <t xml:space="preserve">4 rounds, finding-&gt;fix table + screenshots</t>
  </si>
  <si>
    <t xml:space="preserve">engine.sheet, bus.emit</t>
  </si>
  <si>
    <t xml:space="preserve">stats.hero</t>
  </si>
  <si>
    <t xml:space="preserve">6 projects · 187✓ · 12 patches · 36/36 tests</t>
  </si>
  <si>
    <t xml:space="preserve">core.cells9</t>
  </si>
  <si>
    <t xml:space="preserve">value/sensor/formula/listener/api/program/router/io/ai modules</t>
  </si>
  <si>
    <t xml:space="preserve">core.graph</t>
  </si>
  <si>
    <t xml:space="preserve">v_i = f_i({v_j}), f arbitrary</t>
  </si>
  <si>
    <t xml:space="preserve">cns.primitives</t>
  </si>
  <si>
    <t xml:space="preserve">Z_in, Z_out, JEPA, DoubleEntry, Vibe, GC, Murmur, Graph</t>
  </si>
  <si>
    <t xml:space="preserve">law.gamma_eta</t>
  </si>
  <si>
    <t xml:space="preserve">gamma + eta = budget (conserved)</t>
  </si>
  <si>
    <t xml:space="preserve">watch.gaze</t>
  </si>
  <si>
    <t xml:space="preserve">observation as participatory act</t>
  </si>
  <si>
    <t xml:space="preserve">fascia.gradients</t>
  </si>
  <si>
    <t xml:space="preserve">FasciaJEPA + FasciaDoubleEntry continuous fields</t>
  </si>
  <si>
    <t xml:space="preserve">polyglot.opcodes</t>
  </si>
  <si>
    <t xml:space="preserve">22 opcodes -&gt; 8 primitives, gamma+eta=1</t>
  </si>
  <si>
    <t xml:space="preserve">hodge.decomp</t>
  </si>
  <si>
    <t xml:space="preserve">omega = d(a)+d(b)+h; ratios sum to 1</t>
  </si>
  <si>
    <t xml:space="preserve">hodge.observer</t>
  </si>
  <si>
    <t xml:space="preserve">measurement injects delta(b)_obs</t>
  </si>
  <si>
    <t xml:space="preserve">notebook.map</t>
  </si>
  <si>
    <t xml:space="preserve">page=cell, links=graph, tick=cognitive event</t>
  </si>
  <si>
    <t xml:space="preserve">iterator.loop</t>
  </si>
  <si>
    <t xml:space="preserve">call -&gt; integrate -&gt; assess (recursive/council/bootstrap)</t>
  </si>
  <si>
    <t xml:space="preserve">voyage.qzt</t>
  </si>
  <si>
    <t xml:space="preserve">quilt ship mood.qzt — pocketable vessel</t>
  </si>
  <si>
    <t xml:space="preserve">murmur.idle</t>
  </si>
  <si>
    <t xml:space="preserve">night-thinking agent, 5 gossip strategies</t>
  </si>
  <si>
    <t xml:space="preserve">sdk.federation</t>
  </si>
  <si>
    <t xml:space="preserve">resolveCell/subscribeCell/CellRouter, quilt:// URIs</t>
  </si>
  <si>
    <t xml:space="preserve">store.tiers</t>
  </si>
  <si>
    <t xml:space="preserve">hot/warm/cold R2 + MQTT transport</t>
  </si>
  <si>
    <t xml:space="preserve">coord.letter</t>
  </si>
  <si>
    <t xml:space="preserve">watch proposes, Lucineer routes, Captain coordinates</t>
  </si>
  <si>
    <t xml:space="preserve">synergy.stubs</t>
  </si>
  <si>
    <t xml:space="preserve">8 identical unposted stubs</t>
  </si>
  <si>
    <t xml:space="preserve">scout.log</t>
  </si>
  <si>
    <t xml:space="preserve">dated claim blocks, honesty-tagged</t>
  </si>
  <si>
    <t xml:space="preserve">registry.cards</t>
  </si>
  <si>
    <t xml:space="preserve">C01.. cards: statement/instances/gap/hook</t>
  </si>
  <si>
    <t xml:space="preserve">dedup.append</t>
  </si>
  <si>
    <t xml:space="preserve">instance joins card, no parallel claim</t>
  </si>
  <si>
    <t xml:space="preserve">score.b</t>
  </si>
  <si>
    <t xml:space="preserve">B = V x F x S with caps as warnings</t>
  </si>
  <si>
    <t xml:space="preserve">gate.run</t>
  </si>
  <si>
    <t xml:space="preserve">B&gt;=40 AND F&gt;=3 AND &gt;=1 VERIFIED -&gt; RUN</t>
  </si>
  <si>
    <t xml:space="preserve">register.seal</t>
  </si>
  <si>
    <t xml:space="preserve">interpretation pinned pre-draw @ commit</t>
  </si>
  <si>
    <t xml:space="preserve">qrng.draw</t>
  </si>
  <si>
    <t xml:space="preserve">rationed draw, seal + attempts ledger</t>
  </si>
  <si>
    <t xml:space="preserve">decide.check</t>
  </si>
  <si>
    <t xml:space="preserve">replay byte-identical modulo ts</t>
  </si>
  <si>
    <t xml:space="preserve">receipts.dir</t>
  </si>
  <si>
    <t xml:space="preserve">baseline/decide/witness/usage/health per slice</t>
  </si>
  <si>
    <t xml:space="preserve">verdict.record</t>
  </si>
  <si>
    <t xml:space="preserve">FAIL mutation_space_inert, threshold sealed</t>
  </si>
  <si>
    <t xml:space="preserve">ladder.claim</t>
  </si>
  <si>
    <t xml:space="preserve">L0 default; L1 needs held-out gate</t>
  </si>
  <si>
    <t xml:space="preserve">deltas.ledger</t>
  </si>
  <si>
    <t xml:space="preserve">P0/P1/P2 deltas with first-build sizes</t>
  </si>
  <si>
    <t xml:space="preserve">queue.snowball</t>
  </si>
  <si>
    <t xml:space="preserve">B&gt;=60 -&gt; queue top; 40-59 queued</t>
  </si>
  <si>
    <t xml:space="preserve">ranch.dna</t>
  </si>
  <si>
    <t xml:space="preserve">traits/personality/taskWeights/learningRate/mutationRate/confidence</t>
  </si>
  <si>
    <t xml:space="preserve">ranch.breed</t>
  </si>
  <si>
    <t xml:space="preserve">verified-success -&gt; breed + mutate</t>
  </si>
  <si>
    <t xml:space="preserve">ranch.fitness</t>
  </si>
  <si>
    <t xml:space="preserve">fitness = f(verified completion only)</t>
  </si>
  <si>
    <t xml:space="preserve">ranch.confidence</t>
  </si>
  <si>
    <t xml:space="preserve">+8% speed per success, permanent</t>
  </si>
  <si>
    <t xml:space="preserve">ranch.caps</t>
  </si>
  <si>
    <t xml:space="preserve">soft population cap -&gt; turnover</t>
  </si>
  <si>
    <t xml:space="preserve">researcher.graph</t>
  </si>
  <si>
    <t xml:space="preserve">empty knowledge graph, facts cite experiments</t>
  </si>
  <si>
    <t xml:space="preserve">researcher.experiment</t>
  </si>
  <si>
    <t xml:space="preserve">gap -&gt; one-variable A/B -&gt; statistics</t>
  </si>
  <si>
    <t xml:space="preserve">researcher.review</t>
  </si>
  <si>
    <t xml:space="preserve">peer-review/critic/validator chain</t>
  </si>
  <si>
    <t xml:space="preserve">herding.flock</t>
  </si>
  <si>
    <t xml:space="preserve">boids sheep + weather + courses</t>
  </si>
  <si>
    <t xml:space="preserve">herding.tiers</t>
  </si>
  <si>
    <t xml:space="preserve">fence-line corrections -&gt; Apprentice..Elder</t>
  </si>
  <si>
    <t xml:space="preserve">fork.lineage</t>
  </si>
  <si>
    <t xml:space="preserve">fork = independent Worker lineage</t>
  </si>
  <si>
    <t xml:space="preserve">cpu.budget</t>
  </si>
  <si>
    <t xml:space="preserve">&lt;10ms reasoning loop; 8-10 agents max</t>
  </si>
  <si>
    <t xml:space="preserve">generated_at_utc, total_repos, pages_fetched, cap flags, families, classification, notes</t>
  </si>
  <si>
    <t xml:space="preserve">readme.block</t>
  </si>
  <si>
    <t xml:space="preserve">ATLAS:BEGIN/END generated markdown</t>
  </si>
  <si>
    <t xml:space="preserve">schedule.6h</t>
  </si>
  <si>
    <t xml:space="preserve">atlas.yml re-inventory + commit diff</t>
  </si>
  <si>
    <t xml:space="preserve">paginate.link</t>
  </si>
  <si>
    <t xml:space="preserve">rel=next to exhaustion, cap 120, cap_hit receipted</t>
  </si>
  <si>
    <t xml:space="preserve">classify.name_desc</t>
  </si>
  <si>
    <t xml:space="preserve">name first, synonym-scored description, precedence tie-break</t>
  </si>
  <si>
    <t xml:space="preserve">classify.evidence</t>
  </si>
  <si>
    <t xml:space="preserve">[family, stage, keywords, language] per repo</t>
  </si>
  <si>
    <t xml:space="preserve">ci.top_motion</t>
  </si>
  <si>
    <t xml:space="preserve">probe 24 newest; absence = UNMEASURED</t>
  </si>
  <si>
    <t xml:space="preserve">audit.fleet</t>
  </si>
  <si>
    <t xml:space="preserve">25/30, misses named, table kept</t>
  </si>
  <si>
    <t xml:space="preserve">audit.qthe</t>
  </si>
  <si>
    <t xml:space="preserve">26/30 + canon census 9/25 adjective, residual 2% priced</t>
  </si>
  <si>
    <t xml:space="preserve">count.true</t>
  </si>
  <si>
    <t xml:space="preserve">4856 repos / 49 pages / timestamp</t>
  </si>
  <si>
    <t xml:space="preserve">residue.other</t>
  </si>
  <si>
    <t xml:space="preserve">other = honest residue; stability rule holds</t>
  </si>
  <si>
    <t xml:space="preserve">devcontainer.boot</t>
  </si>
  <si>
    <t xml:space="preserve">post-create.sh installs, starts, prints 3 URLs + token</t>
  </si>
  <si>
    <t xml:space="preserve">engine.core</t>
  </si>
  <si>
    <t xml:space="preserve">@quilt/core or in-memory fallback (WARN)</t>
  </si>
  <si>
    <t xml:space="preserve">api.cells</t>
  </si>
  <si>
    <t xml:space="preserve">GET/PUT cell, /events SSE, /evaluate, /health, /meta</t>
  </si>
  <si>
    <t xml:space="preserve">api.token</t>
  </si>
  <si>
    <t xml:space="preserve">Authorization: Bearer $QUILT_TOKEN required</t>
  </si>
  <si>
    <t xml:space="preserve">tui.ttyd</t>
  </si>
  <si>
    <t xml:space="preserve">quilt serve in browser at :7681</t>
  </si>
  <si>
    <t xml:space="preserve">dash.8080</t>
  </si>
  <si>
    <t xml:space="preserve">federation view</t>
  </si>
  <si>
    <t xml:space="preserve">sdk.detectTier</t>
  </si>
  <si>
    <t xml:space="preserve">{tier, instanceId, capabilities, siblings}</t>
  </si>
  <si>
    <t xml:space="preserve">fed.uri</t>
  </si>
  <si>
    <t xml:space="preserve">quilt://[instance]/[sheet]#[cell]</t>
  </si>
  <si>
    <t xml:space="preserve">autopilot.subs</t>
  </si>
  <si>
    <t xml:space="preserve">subscribe rudder/compass/wind/obstacles</t>
  </si>
  <si>
    <t xml:space="preserve">autopilot.writes</t>
  </si>
  <si>
    <t xml:space="preserve">write only pid_kp + last_decision</t>
  </si>
  <si>
    <t xml:space="preserve">state.ephemeral</t>
  </si>
  <si>
    <t xml:space="preserve">~/.quilt/state lost on shutdown; seed.json + sync exits</t>
  </si>
  <si>
    <t xml:space="preserve">rooms.map</t>
  </si>
  <si>
    <t xml:space="preserve">BareRoom..Lighthouse -&gt; esp32..codespace table</t>
  </si>
  <si>
    <t xml:space="preserve">lanes.monorepo</t>
  </si>
  <si>
    <t xml:space="preserve">5 subprojects @ HEAD c20c1c8</t>
  </si>
  <si>
    <t xml:space="preserve">tidepool.stores</t>
  </si>
  <si>
    <t xml:space="preserve">D1 journal + Vectorize 16d native / 768d semantic</t>
  </si>
  <si>
    <t xml:space="preserve">tidepool.remember</t>
  </si>
  <si>
    <t xml:space="preserve">distill &lt;=200w, POST fire-and-forget</t>
  </si>
  <si>
    <t xml:space="preserve">tidepool.recall</t>
  </si>
  <si>
    <t xml:space="preserve">top-3 hybrid semantic-&gt;text fallback</t>
  </si>
  <si>
    <t xml:space="preserve">tidepool.jev_gate</t>
  </si>
  <si>
    <t xml:space="preserve">sigma=sqrt(c_emb*c_jev); floor 0.5 -&gt; typed abstain</t>
  </si>
  <si>
    <t xml:space="preserve">tidepool.health</t>
  </si>
  <si>
    <t xml:space="preserve">/health reports unbound bindings honestly</t>
  </si>
  <si>
    <t xml:space="preserve">tidepool.limit</t>
  </si>
  <si>
    <t xml:space="preserve">45/min/IP over fnv1a(ip)</t>
  </si>
  <si>
    <t xml:space="preserve">canon.frontmatter</t>
  </si>
  <si>
    <t xml:space="preserve">mission/feeds/owed_by/verified</t>
  </si>
  <si>
    <t xml:space="preserve">edge.worker</t>
  </si>
  <si>
    <t xml:space="preserve">quilt on Workers/D1/KV, /run + /cell/:id</t>
  </si>
  <si>
    <t xml:space="preserve">ai.router</t>
  </si>
  <si>
    <t xml:space="preserve">4 providers, spend only when budget.over</t>
  </si>
  <si>
    <t xml:space="preserve">agent.sheet</t>
  </si>
  <si>
    <t xml:space="preserve">memory=value, tools=api, reasoning=program cells</t>
  </si>
  <si>
    <t xml:space="preserve">polyform.fnv1a</t>
  </si>
  <si>
    <t xml:space="preserve">identical hash in py/c/rs/hs/mercury</t>
  </si>
  <si>
    <t xml:space="preserve">tests.mocked</t>
  </si>
  <si>
    <t xml:space="preserve">18 smoke + 13 node tests, 0 network</t>
  </si>
  <si>
    <t xml:space="preserve">tidepool.jev_gate, tidepool.limit</t>
  </si>
  <si>
    <t xml:space="preserve">raw.receipts</t>
  </si>
  <si>
    <t xml:space="preserve">5 archived JSON dumps, unedited</t>
  </si>
  <si>
    <t xml:space="preserve">synthesis.table</t>
  </si>
  <si>
    <t xml:space="preserve">hit -&gt; what it gives the garden</t>
  </si>
  <si>
    <t xml:space="preserve">jepa.line</t>
  </si>
  <si>
    <t xml:space="preserve">V-JEPA 2 / ThinkJEPA / Human-JEPA hits</t>
  </si>
  <si>
    <t xml:space="preserve">ttt.line</t>
  </si>
  <si>
    <t xml:space="preserve">TTT-E2E / buffer layers / KV-binding hits</t>
  </si>
  <si>
    <t xml:space="preserve">distill.line</t>
  </si>
  <si>
    <t xml:space="preserve">teacher-&gt;student, small-model agents hits</t>
  </si>
  <si>
    <t xml:space="preserve">hdc.line</t>
  </si>
  <si>
    <t xml:space="preserve">THDC / VSA survey / NeuroVSA hits</t>
  </si>
  <si>
    <t xml:space="preserve">continual.dud</t>
  </si>
  <si>
    <t xml:space="preserve">5 junk results, receipted not deleted</t>
  </si>
  <si>
    <t xml:space="preserve">borrow.mainstream</t>
  </si>
  <si>
    <t xml:space="preserve">Task A + quilt-jepa confirmed on-line</t>
  </si>
  <si>
    <t xml:space="preserve">jepa.line, synthesis.table</t>
  </si>
  <si>
    <t xml:space="preserve">borrow.idlecompile</t>
  </si>
  <si>
    <t xml:space="preserve">weaver = TTA at system level</t>
  </si>
  <si>
    <t xml:space="preserve">ttt.line, synthesis.table</t>
  </si>
  <si>
    <t xml:space="preserve">borrow.escalation</t>
  </si>
  <si>
    <t xml:space="preserve">local 0.056ms -&gt; hosted 283ms -&gt; idle distill, receipted</t>
  </si>
  <si>
    <t xml:space="preserve">distill.line, synthesis.table</t>
  </si>
  <si>
    <t xml:space="preserve">borrow.qthe</t>
  </si>
  <si>
    <t xml:space="preserve">qthe = QTHE-flavored HDC; growth by accumulation</t>
  </si>
  <si>
    <t xml:space="preserve">hdc.line, synthesis.table</t>
  </si>
  <si>
    <t xml:space="preserve">novel.growth</t>
  </si>
  <si>
    <t xml:space="preserve">growth-from-usage: pre-registered claims, no citations</t>
  </si>
  <si>
    <t xml:space="preserve">ahead.behind</t>
  </si>
  <si>
    <t xml:space="preserve">windowsill-not-greenhouse self-report</t>
  </si>
  <si>
    <t xml:space="preserve">Timestamped ledgers (append-only; 106 rows)</t>
  </si>
  <si>
    <t xml:space="preserve">ts</t>
  </si>
  <si>
    <t xml:space="preserve">source</t>
  </si>
  <si>
    <t xml:space="preserve">lane</t>
  </si>
  <si>
    <t xml:space="preserve">event</t>
  </si>
  <si>
    <t xml:space="preserve">detail</t>
  </si>
  <si>
    <t xml:space="preserve">2026-10-04T06:59:27Z</t>
  </si>
  <si>
    <t xml:space="preserve">gatesweep-66-g.jsonl</t>
  </si>
  <si>
    <t xml:space="preserve">66-g</t>
  </si>
  <si>
    <t xml:space="preserve">PRE-REGISTER</t>
  </si>
  <si>
    <t xml:space="preserve">rules</t>
  </si>
  <si>
    <t xml:space="preserve">{"R1_OPEN":"gate non-empty AND gate_kind non-null -&gt; emit(g=0.75,e=0.25,d=0.50)","R2_SOFT":"gate non-empty AND gate_kind null -&gt; emit(g=0.50,e=0.50,d=0.50)","R3_HOLE":"gate empty/null -&gt; observe(d=0.20) explicit local collapse","R4_SEAL":"gate_kind in {seal,conservation} -&gt; extra emit(g=0.85,e=0.15,d=0.50)","R5_LAYERHOLE":"work missing any layer 0..4 -&gt; observe at that layer cell","R6_THIN":"work with &lt;5 gated parts -&gt; warning emit(g=0.35,e=0.65,d=0.50)","geometry":"work i -&gt; q=(i%7)-3 ; layer L -&gt; r=L-2 ; radius 6 ; policy ledger","backend":"atlas-sweep (deterministic structural judgment; no LLM, no network)"}</t>
  </si>
  <si>
    <t xml:space="preserve">swept</t>
  </si>
  <si>
    <t xml:space="preserve">parts=26 OPEN=24 SOFT=0 HOLE=2 seal2x=5 missingLayers=[] fm=24</t>
  </si>
  <si>
    <t xml:space="preserve">parts=16 OPEN=15 SOFT=0 HOLE=1 seal2x=3 missingLayers=[0] fm=16</t>
  </si>
  <si>
    <t xml:space="preserve">parts=26 OPEN=26 SOFT=0 HOLE=0 seal2x=2 missingLayers=[] fm=26</t>
  </si>
  <si>
    <t xml:space="preserve">parts=24 OPEN=24 SOFT=0 HOLE=0 seal2x=5 missingLayers=[] fm=24</t>
  </si>
  <si>
    <t xml:space="preserve">parts=12 OPEN=9 SOFT=0 HOLE=3 seal2x=2 missingLayers=[] fm=12</t>
  </si>
  <si>
    <t xml:space="preserve">parts=13 OPEN=10 SOFT=0 HOLE=3 seal2x=3 missingLayers=[] fm=13</t>
  </si>
  <si>
    <t xml:space="preserve">parts=10 OPEN=6 SOFT=0 HOLE=4 seal2x=1 missingLayers=[] fm=10</t>
  </si>
  <si>
    <t xml:space="preserve">parts=15 OPEN=15 SOFT=0 HOLE=0 seal2x=3 missingLayers=[] fm=15</t>
  </si>
  <si>
    <t xml:space="preserve">parts=14 OPEN=13 SOFT=0 HOLE=1 seal2x=2 missingLayers=[] fm=14</t>
  </si>
  <si>
    <t xml:space="preserve">parts=14 OPEN=12 SOFT=0 HOLE=2 seal2x=2 missingLayers=[2] fm=14</t>
  </si>
  <si>
    <t xml:space="preserve">parts=16 OPEN=9 SOFT=0 HOLE=7 seal2x=2 missingLayers=[] fm=16</t>
  </si>
  <si>
    <t xml:space="preserve">parts=16 OPEN=5 SOFT=0 HOLE=11 seal2x=0 missingLayers=[] fm=16</t>
  </si>
  <si>
    <t xml:space="preserve">parts=17 OPEN=5 SOFT=0 HOLE=12 seal2x=2 missingLayers=[] fm=17</t>
  </si>
  <si>
    <t xml:space="preserve">parts=12 OPEN=6 SOFT=0 HOLE=6 seal2x=0 missingLayers=[] fm=12</t>
  </si>
  <si>
    <t xml:space="preserve">parts=14 OPEN=3 SOFT=0 HOLE=11 seal2x=0 missingLayers=[] fm=14</t>
  </si>
  <si>
    <t xml:space="preserve">parts=24 OPEN=9 SOFT=0 HOLE=15 seal2x=4 missingLayers=[3] fm=24</t>
  </si>
  <si>
    <t xml:space="preserve">parts=16 OPEN=8 SOFT=0 HOLE=8 seal2x=0 missingLayers=[] fm=16</t>
  </si>
  <si>
    <t xml:space="preserve">parts=19 OPEN=10 SOFT=0 HOLE=9 seal2x=2 missingLayers=[] fm=19</t>
  </si>
  <si>
    <t xml:space="preserve">parts=25 OPEN=25 SOFT=0 HOLE=0 seal2x=10 missingLayers=[] fm=23</t>
  </si>
  <si>
    <t xml:space="preserve">parts=16 OPEN=16 SOFT=0 HOLE=0 seal2x=2 missingLayers=[] fm=11</t>
  </si>
  <si>
    <t xml:space="preserve">parts=20 OPEN=19 SOFT=0 HOLE=1 seal2x=1 missingLayers=[] fm=14</t>
  </si>
  <si>
    <t xml:space="preserve">parts=14 OPEN=9 SOFT=0 HOLE=5 seal2x=1 missingLayers=[] fm=4</t>
  </si>
  <si>
    <t xml:space="preserve">parts=20 OPEN=18 SOFT=0 HOLE=2 seal2x=2 missingLayers=[] fm=11</t>
  </si>
  <si>
    <t xml:space="preserve">parts=22 OPEN=21 SOFT=0 HOLE=1 seal2x=3 missingLayers=[] fm=11</t>
  </si>
  <si>
    <t xml:space="preserve">parts=18 OPEN=15 SOFT=0 HOLE=3 seal2x=2 missingLayers=[] fm=11</t>
  </si>
  <si>
    <t xml:space="preserve">parts=21 OPEN=20 SOFT=0 HOLE=1 seal2x=6 missingLayers=[] fm=13</t>
  </si>
  <si>
    <t xml:space="preserve">parts=22 OPEN=16 SOFT=0 HOLE=6 seal2x=4 missingLayers=[] fm=20</t>
  </si>
  <si>
    <t xml:space="preserve">parts=28 OPEN=23 SOFT=0 HOLE=5 seal2x=3 missingLayers=[] fm=26</t>
  </si>
  <si>
    <t xml:space="preserve">parts=18 OPEN=10 SOFT=0 HOLE=8 seal2x=0 missingLayers=[] fm=13</t>
  </si>
  <si>
    <t xml:space="preserve">POST-RUN</t>
  </si>
  <si>
    <t xml:space="preserve">aggregate</t>
  </si>
  <si>
    <t xml:space="preserve">{"works":29,"parts":528,"gated":401,"OPEN":401,"SOFT":0,"HOLE":127,"gated_pct":75.9,"gate_kind_histogram":{"invariant":100,"postcondition":87,"seal":52,"conservation":20,"admission":67,"precondition":50,"budget":25},"layer_histogram":[75,170,128,69,86],"deformations":474,"observations":130,"prob_open":0.14,"zone":0.0571,"chain_tip":"13463fd02be3ac4fd18dce7c9c530d547fdda360b09d25999418b6b1301070b0","chain_verify":{"ok":true,"links":606,"tip":"13463fd02be3ac4fd18dce7c9c530d547fdda360b09d25999418b6b1301070b0"}}</t>
  </si>
  <si>
    <t xml:space="preserve">chain ok=true links=606 tip=13463fd02be3ac4fd18dce7c9c530d547fdda360b09d25999418b6b1301070b0</t>
  </si>
  <si>
    <t xml:space="preserve">2026-10-04T06:43:40Z</t>
  </si>
  <si>
    <t xml:space="preserve">parts-66-a.jsonl</t>
  </si>
  <si>
    <t xml:space="preserve">66-a</t>
  </si>
  <si>
    <t xml:space="preserve">decomposed</t>
  </si>
  <si>
    <t xml:space="preserve">parts/substrate/qthe.json written: 4 ideas, 22 parts (21 gated), 14 sheet cells, layer_logic 0-4; head 6017f80</t>
  </si>
  <si>
    <t xml:space="preserve">smoke_ran</t>
  </si>
  <si>
    <t xml:space="preserve">two_reader/selftest.mjs PASS 54/54 (0 escapes); inline kernel dog-food 260/260 (bijection, vectorPass fixture {re:8,im:30}, twin-substrate determinism, bounds, tau frozen); main gate suite run_tests.mjs NOT_RUN — requires sibling quilt-stone/stone.mjs absent from workspace</t>
  </si>
  <si>
    <t xml:space="preserve">negative</t>
  </si>
  <si>
    <t xml:space="preserve">run_tests.mjs imports ../../quilt-stone/stone.mjs which does not exist in /home/z/my-project; tests/receipt.json records the prior full green run with kernel sha ef9a3bba… — verdict honest-NOT_RUN, not fabricated</t>
  </si>
  <si>
    <t xml:space="preserve">2026-10-04T06:44:10Z</t>
  </si>
  <si>
    <t xml:space="preserve">parts/substrate/quilt-jepa.json written: 4 ideas, 18 parts (15 gated), 14 sheet cells, layer_logic 0-4; head a47762a</t>
  </si>
  <si>
    <t xml:space="preserve">verify.mjs (read-only) PASS: 'OK chain 7 rows, tip 09e84771c690…, claims 3/6, registration seal verified' exit 0; core dog-food in /tmp scratch: world determinism PASS, JEPA loss 0.01112→0.00777 over 120 trainSteps PASS, mesh energy drift 0.0 over 10 steps PASS, variance non-increasing PASS</t>
  </si>
  <si>
    <t xml:space="preserve">run.mjs NOT executed in-repo (writeFileSync receipts/run.json at run.mjs:211 would modify the studied repo); first scratch harness had my own warm-up-tick asymmetry — disclosed and fixed; README 3/6 is run 1 of 10, verdict-v10 records 22/28 with DOSE10/SAT10/DIP10 honest FAILs</t>
  </si>
  <si>
    <t xml:space="preserve">2026-10-04T06:44:40Z</t>
  </si>
  <si>
    <t xml:space="preserve">parts/substrate/jev-quilt.json written: 5 ideas, 20 parts (18 gated), 12 sheet cells, layer_logic 0-4; head 30e431b</t>
  </si>
  <si>
    <t xml:space="preserve">python3 -m unittest discover -s tests -q: Ran 249 tests in 38.505s, OK — 0 failures, 6 skipped, 2 expected failures; README's '81 passed, 3 skipped' is stale (suite grew; status MEASURED not written)</t>
  </si>
  <si>
    <t xml:space="preserve">cosmetic ResourceWarnings (unclosed fixture files tests/test_receipts_v2.py:245); Rust cargo suite not run in this lane (no toolchain check made; repo reports 13 green on metal); Mercury and Haskell polyforms labeled UNVERIFIED by the repo itself (no mmc/ghc) — kept as honest negatives in part jev-quilt-P20</t>
  </si>
  <si>
    <t xml:space="preserve">2026-10-04T06:45:15Z</t>
  </si>
  <si>
    <t xml:space="preserve">parts/substrate/quilt-qcells.json written: 5 ideas, 21 parts (20 gated), 13 sheet cells, layer_logic 0-4; head 615ddcf</t>
  </si>
  <si>
    <t xml:space="preserve">conformance.py in /tmp scratch copy (cp -rp; repo untouched): ALL GREEN — P1 replay==oracle, P2 chain from genesis, P3 4254/4254 tamper localized, P4 determinism 15/15 sealed; 16 circuits, 1418 rows, 5/5 negatives, 6.4s; receipt tip 73583aaef12b1d4d matches committed receipts</t>
  </si>
  <si>
    <t xml:space="preserve">mtime seals stale out-of-the-box: this workspace normalized every file mtime to 1790652238.0 while registration.json recorded distinct original mtimes — the fail-closed refusal ('FATAL: seal stale for conformance.py (mtime moved since registration)') is the mechanism working; re-registered inside the scratch copy only; studied repo byte-untouched</t>
  </si>
  <si>
    <t xml:space="preserve">2026-10-04T06:42:16.024Z</t>
  </si>
  <si>
    <t xml:space="preserve">parts-66-b.jsonl</t>
  </si>
  <si>
    <t xml:space="preserve">66-b</t>
  </si>
  <si>
    <t xml:space="preserve">node tests/selftest.mjs -&gt; PASS 30/30 (exit 0); node smoke.mjs -&gt; PASS 9/9; offline, no API key; teacher.mjs never invoked; git tree clean after runs</t>
  </si>
  <si>
    <t xml:space="preserve">npm test -&gt; PASS 85/85 (node --test auto-discovery, 0.7s, offline); node examples/vibe-distill.js --check -&gt; PASS (3 pinned, 3 silenced, 0 refused, ledger verify true); node src/cli.js scan jev-ci.ledger.jsonl -&gt; CHAIN VERIFIED, 13 receipts, ALIVE 4 events / 7 silences, admission 36.4%</t>
  </si>
  <si>
    <t xml:space="preserve">`node --test test/` (explicit dir arg) fails with one opaque test error in this Node version; npm test (auto-discovery) is the working invocation. Recorded as honest negative, not worked around silently.</t>
  </si>
  <si>
    <t xml:space="preserve">node smoke.mjs -&gt; PASS 3/3 (seedbox-inherited checks); node experiments/e_x0_pocs.mjs -&gt; EX0 VERDICT 8/8 PASS, chain 4 links verify=true + file re-verify=true, tip 7c2a6341828c3506 == committed ex0_summary.json tip (byte-identical rerun)</t>
  </si>
  <si>
    <t xml:space="preserve">PoC rerun regenerated experiments/outputs/ex0_p8_state.json (single wall-clock line changed: observers.agent.wall); restored to committed bytes via git checkout -- after the run (zero content diffs left). Working tree otherwise carries PRE-EXISTING mode-bit churn 100644-&gt;100755 on ~60 files with 0 content diff; mtimes 2026-09-28/29 predate this session — not induced by 66-b.</t>
  </si>
  <si>
    <t xml:space="preserve">node seedbox.mjs --selftest -&gt; PASS (spawned .selftest demo repo: 1 commit, SMOKE OK 3/3, then cleaned up; git status --porcelain back to 0 lines). Offline mode confirmed; networked git/GitHub push path NOT exercised per no-network lane rule.</t>
  </si>
  <si>
    <t xml:space="preserve">parts/garden/jev-garden.json: 4 ideas, 26 parts (26 gated), 12 sheet cells, layers 0-4 populated; head d05e1d9; evidence file:line in jev-garden src/tests/adapters; honest FAILs of record (P-G2/b/c ensembles) preserved as part failure_modes</t>
  </si>
  <si>
    <t xml:space="preserve">parts/garden/jeviter.json: 5 ideas, 24 parts (24 gated), 12 cells; head b8c5801; klGain categorical-replacement blindness receipted as failure_mode with klGainStrict/profileValue as the folded-home cures</t>
  </si>
  <si>
    <t xml:space="preserve">parts/garden/exoj.json: 5 ideas, 26 parts (24 gated), 12 cells; head a34ab8d; field/cells/soft_write/accumulate/jev_emit/observe/project/save/receipt-chain each decomposed with PoC-sealed gates quoted from e_x0 rules; 4 conservation policies kept as priced arms</t>
  </si>
  <si>
    <t xml:space="preserve">parts/garden/fleet-seeds.json: 4 ideas, 16 parts (15 gated), 12 cells; head 8d875df; seedbox spawn/selftest/smoke-contract decomposed plus lode/tavern/registry/witness-rollup memory institutions read-only</t>
  </si>
  <si>
    <t xml:space="preserve">garden-lane</t>
  </si>
  <si>
    <t xml:space="preserve">Study-scope notes: exoj + jeviter npm/node --test runs left tracked content untouched (verified); all repos read otherwise read-only; no pushes, no network, no API tokens used</t>
  </si>
  <si>
    <t xml:space="preserve">2026-10-04T06:40:57.190Z</t>
  </si>
  <si>
    <t xml:space="preserve">parts-66-c.jsonl</t>
  </si>
  <si>
    <t xml:space="preserve">66-c</t>
  </si>
  <si>
    <t xml:space="preserve">node experiments/smoke.mjs -&gt; SMOKE OK 16/16 (offline, no keys, &lt;1s; vault mock-labeled, provenance lifecycle verified: relay/echo/clean/influence/unstick)</t>
  </si>
  <si>
    <t xml:space="preserve">2026-10-04T06:40:57.191Z</t>
  </si>
  <si>
    <t xml:space="preserve">tsx --test test/*.test.ts (tsx borrowed from sibling quilt-playtest node_modules; repo ships none) -&gt; 12/12 pass, 0 fail, 5.2s offline</t>
  </si>
  <si>
    <t xml:space="preserve">node scripts/47b-self-test.mjs --fleet-root /home/z/my-project/fleet-seeds -&gt; 12/12 controls PASS fail-closed (T1-T8 tamper-&gt;DISAGREE, POS 8/8 AGREE, E1/E2 exit 1, E3 exit 0), 0.18s stdlib-only</t>
  </si>
  <si>
    <t xml:space="preserve">parts/swarm/quilt-murmur.json: 5 ideas, 28 parts (L0:5 L1:12 L2:7 L3:1 L4:3), 14 cells, 23 gate-carrying parts; gates captured concretely: relay-first precondition, echo conviction (rate&gt;=0.8+mirror guard), dup bar, admission (age40+indep2+devMean0.5), capShare 0.10 flood-breaker, founder acclamation D1, hard-tag caps, gardener credit floors, tree cycle invariant, founder-velocity guard (EWMA gap&gt;0.15 x8r + wrong-side&lt;0.45), whisper finiteness, seal/verify, smoke postcondition</t>
  </si>
  <si>
    <t xml:space="preserve">parts/swarm/quilt-pincher.json: 5 ideas, 18 parts (L0:3 L1:6 L2:4 L3:3 L4:2), 12 cells, 10 gates (veto admission, 0.80/0.55 thresholds, 5s execution budget, no-compiler fail-closed, confidence clamp 0.5-0.99, cosine dim precondition, compiled-reflex veto, latency postcondition)</t>
  </si>
  <si>
    <t xml:space="preserve">parts/swarm/crab-traps.json: 5 ideas, 22 parts (L0:4 L1:7 L2:6 L3:2 L4:3), 14 cells, 16 gates (chain-link admission, (cell,ts) invariant, verify seal walk, 100KB body budget, plaque seal, ack admission, tavern rules, before+delta===after conservation, idempotent mint, rate budget, second-reader seal, fail-closed postcondition, tarpit)</t>
  </si>
  <si>
    <t xml:space="preserve">corpus.json essence says fnv1a64 chain-basis; in-repo the tamper-trap chains are SHA-256 canonical-JSON (edge-ledger.ts:L82-L95) + stone-v1 law; fnv1a64 appears as the arena witness CONTRACT (worker/scripts/45c-live-reasoner.mjs:L202, witness-fnv) and vectorize hashFeature (scripts/vectorize-lures.py:L51). Recorded in part crab-traps-P21.</t>
  </si>
  <si>
    <t xml:space="preserve">honest gaps recorded in parts: allReflexes() demo stub returns [] so engine.exportNail emits empty bundles (engine.ts:L155-L160); execute() is unsandboxed eval-in-Function by its own comment (engine.ts:L121-L136); repo ships no node_modules/dist so tests need a sibling tsx binary; cell descriptor declares the sheet but runPinch drives engine.run directly</t>
  </si>
  <si>
    <t xml:space="preserve">47b self-test by design writes its own receipt into worker/src/receipts/47b/ inside the repo (documented no-writes-outside-receipts contract); no code/docs modified, disclosed in smoke.notes</t>
  </si>
  <si>
    <t xml:space="preserve">receipted limits captured in parts, not hidden: capShare is probation-only (E33: 48 sybils legitimately admitted then share 0.136); sleeper walks probation (E35/E37); fractional attribution alone fails toxic-source leg (E24 corroboration starvation); provenance is dead weight vs good-voice-copying cliques (E34); r is a lie detector NOT an accuracy meter (E16 null)</t>
  </si>
  <si>
    <t xml:space="preserve">2026-10-04T06:41:42Z</t>
  </si>
  <si>
    <t xml:space="preserve">parts-66-d.jsonl</t>
  </si>
  <si>
    <t xml:space="preserve">66-d</t>
  </si>
  <si>
    <t xml:space="preserve">npm test (= node --test, package.json) → PASS 15/15 offline (5.6s); every test spawns a real server over stdio JSON-RPC; harness note: `node --test test/` trailing-dir form fails MODULE_NOT_FOUND on Node v24.21.0, correct invocation is the package script</t>
  </si>
  <si>
    <t xml:space="preserve">2026-10-04T06:41:43Z</t>
  </si>
  <si>
    <t xml:space="preserve">npm test → PASS 44/44 (145ms) + npm run demo PASS + npm run demo:rewind 7/7 stages PASS; both demo receipts regenerated truthfully (examples/receipts/)</t>
  </si>
  <si>
    <t xml:space="preserve">2026-10-04T06:41:44Z</t>
  </si>
  <si>
    <t xml:space="preserve">smoke NOT_RUN — CF worker requires deploy: scripts/deploy.sh authenticates to Cloudflare REST API (KV + script upload + cron) and judge relay calls DeepInfra; lane rules forbid network/deploy. No wrangler.toml exists in repo — deploy config lives in deploy.sh. Offline dog-food instead: node scripts/validate-dialect.mjs → 38/38 PASS exit 0 (fixture sha256 6abf4659…, both implementations validate)</t>
  </si>
  <si>
    <t xml:space="preserve">2026-10-04T06:41:45Z</t>
  </si>
  <si>
    <t xml:space="preserve">offline contract check: 5/5 sprint scripts conform to SPRINT-LINEAGE (7 header sections + NEXT trailer + no sub-agents) and 3/3 research JSONs parse; sprint scripts themselves NOT executed (need env API keys + network, forbidden)</t>
  </si>
  <si>
    <t xml:space="preserve">2026-10-04T06:41:46Z</t>
  </si>
  <si>
    <t xml:space="preserve">registry drift caught by the canon own law: sprint-quantum-001.py present in sprints/ but absent from README.md tree (4 frames claimed) and from SPRINT-LINEAGE.md active table; nested duplicate dir quilt-research-canons/quilt-research-canons/research/ holds the contribution thesis</t>
  </si>
  <si>
    <t xml:space="preserve">2026-10-04T06:41:47Z</t>
  </si>
  <si>
    <t xml:space="preserve">parts/organ/quilt-mcp-receipts.json — ideas=4 parts=16 gates=16 failure_modes=11 (E_STORE_CORRUPT, E_MISSING_FIELD, E_UNKNOWN_FIELD, E_BODY_INVALID, E_SEQ_MISMATCH, E_PREV_MISMATCH, E_HASH_MISMATCH, E_BAD_SIGNATURE, E_BAD_ARGS); head 889960a; JSON.parse+schema OK</t>
  </si>
  <si>
    <t xml:space="preserve">2026-10-04T06:41:48Z</t>
  </si>
  <si>
    <t xml:space="preserve">parts/organ/quilt-jev-toolkit.json — ideas=5 parts=25 gates=25 failure_modes=23 (26 distinct named codes captured: SCHEMA_DRIFT…CHECKPOINT_MINT_INVALID incl. REWIND_PAST_CUSTODY, REPLAY_DIVERGENCE, DOUBLE_ENTRY_REWIND_INVALID); head c9840b2; JSON.parse+schema OK</t>
  </si>
  <si>
    <t xml:space="preserve">2026-10-04T06:41:49Z</t>
  </si>
  <si>
    <t xml:space="preserve">parts/organ/quilt-organ-workers.json — ideas=4 parts=20 gates=19 failure_modes=14 (RECEIPT_INVALID, MANIFESTHASH_MISMATCH, STATEHASH_MISMATCH, CELLSSHA256_MISMATCH, CELL_STATE_MISSING, CELL_STATEHASH_MISMATCH, MANIFEST_INVALID, STATE_INVALID); head 45f4768; JSON.parse+schema OK</t>
  </si>
  <si>
    <t xml:space="preserve">2026-10-04T06:41:50Z</t>
  </si>
  <si>
    <t xml:space="preserve">parts/organ/quilt-research-canons.json — ideas=4 parts=14 gates=9 failure_modes=4 (incl. registry-drift observation as a recorded failure mode); head 3547d01; JSON.parse+schema OK</t>
  </si>
  <si>
    <t xml:space="preserve">2026-10-04T06:42:54Z</t>
  </si>
  <si>
    <t xml:space="preserve">parts-66-e.jsonl</t>
  </si>
  <si>
    <t xml:space="preserve">66-e</t>
  </si>
  <si>
    <t xml:space="preserve">MOTH_OFFLINE=1 node lab/play.mjs -&gt; 17/17 checks green in 220ms (offline; live is 19). Local-only dep fix: symlink download/node_modules/yaml -&gt; quilt-dba/node_modules/yaml. Run rewrote lab/outputs/*; committed outputs restored via git checkout afterwards.</t>
  </si>
  <si>
    <t xml:space="preserve">node experiments/smoke.mjs -&gt; 13/13 PASS (boundary 1585 ok/1586 refuse, no-lookahead, jev mock gating, growth beta1 -1-&gt;1, chain seals).</t>
  </si>
  <si>
    <t xml:space="preserve">Repo-root smoke.mjs FAILS: dba/driver.mjs:20 imports TASKS which dba/sheet.mjs no longer exports (SyntaxError). Canonical experiments/smoke.mjs path is green.</t>
  </si>
  <si>
    <t xml:space="preserve">node experiments/smoke_raw.mjs -&gt; 18/18 PASS; q32 reference checks, transactional breach halt bit-unchanged, 50-event rewind bit-equals seed, R1-R5 sealed, receipt chain verifies (10 links), float64 contrast DRIFT-NONZERO.</t>
  </si>
  <si>
    <t xml:space="preserve">node scripts/keyscan.mjs -&gt; verdict CLEAN, exit 0 (2 hits, both receipted-benign: dead rolled deepseek credential in sealed receipt). Offline graph check: runs/2026-10-01-run1/graph.json = 49 nodes / 104 edges as README claims; judges p_complete 0.71.</t>
  </si>
  <si>
    <t xml:space="preserve">Live pipeline NOT_RUN: needs DEEPSEEK/TYPESAFE/DEEPINFRA keys + network, forbidden by dog-food rules.</t>
  </si>
  <si>
    <t xml:space="preserve">pytest 3 pin files -&gt; 19 passed, 1 failed in 0.38s.</t>
  </si>
  <si>
    <t xml:space="preserve">test_manifest_exists_and_matches FAILED: tracked tree drifted after the import-baseline manifest was sealed (receipts/exp012*, exp013* added post-seal). The pin caught the drift loudly and names the fix (regenerate via tools/import_manifest.py). Cell-mapping + collapse-ledger pins all green.</t>
  </si>
  <si>
    <t xml:space="preserve">Smoke NOT_RUN: docs-only research mooring (offline HTML exhibits + vendored MicroMoth/quantum-audio), no executable entry point. Offline text-extraction verification confirms engine contracts (coin-toss-v1 v1.0.15 @2 credits, qpixl-v1 @1, graph-v1 @5, bearer + openapi.json, 56 ops).</t>
  </si>
  <si>
    <t xml:space="preserve">parts/labs/quilt-quant.json: 5 ideas, 14 parts (13 gated), 12 sheet cells, layers 0-4 populated; evidence file:line from lab/sheet.mjs, lab/policy.src.mjs, lab/play.mjs, PROVENANCE.md.</t>
  </si>
  <si>
    <t xml:space="preserve">parts/labs/quilt-dba.json: 4 ideas, 15 parts (15 gated), 11 cells; evidence from dba/sheet.mjs, dba/kernels.mjs, dba/vault.mjs, dba/jev_live.mjs, dba/mothqrc.mjs, e_d1_summary.json.</t>
  </si>
  <si>
    <t xml:space="preserve">parts/labs/quilt-raw.json: 5 ideas, 14 parts (12 gated), 11 cells; evidence from raw/loop.mjs, raw/journal.mjs, raw/egg.mjs, raw/field.mjs, q32.mjs, e_r1_summary.json.</t>
  </si>
  <si>
    <t xml:space="preserve">parts/labs/cot-quilt.json: 4 ideas, 12 parts (9 gated), 11 cells; evidence from README.md, scripts/run1_pipeline.mjs, scripts/keyscan.mjs, runs/ graph+judges.</t>
  </si>
  <si>
    <t xml:space="preserve">parts/labs/MicroMoth-quilt.json: 4 ideas, 13 parts (10 gated), 10 cells; evidence from docs/CELL-MAPPING.md, tools/collapse_ledger.py, tools/import_manifest.py, README.md, AUDIT.md.</t>
  </si>
  <si>
    <t xml:space="preserve">parts/labs/moth-research.json: 4 ideas, 10 parts (6 gated), 10 cells; the sourcing discipline itself decomposed; evidence from p_*.html exhibits + vendored READMEs + consumer cross-refs.</t>
  </si>
  <si>
    <t xml:space="preserve">2026-10-04T06:58:05Z</t>
  </si>
  <si>
    <t xml:space="preserve">parts-66-f.jsonl</t>
  </si>
  <si>
    <t xml:space="preserve">66-f</t>
  </si>
  <si>
    <t xml:space="preserve">LANE</t>
  </si>
  <si>
    <t xml:space="preserve">keeper_repair</t>
  </si>
  <si>
    <t xml:space="preserve">lane 66-f agent hit context deadline AFTER writing all 8 parts/meta files, BEFORE receipts+worklog; keeper (main) synthesizes receipts from validated artifacts only</t>
  </si>
  <si>
    <t xml:space="preserve">ideas=6 parts=19 gates=10 cells=16 head=c20c1c8 evidence-sampled=true (keeper JSON.parse+schema re-validation)</t>
  </si>
  <si>
    <t xml:space="preserve">smoke_recorded</t>
  </si>
  <si>
    <t xml:space="preserve">cmd="node -e \"extract &lt;script&gt; blocks from index.html\" &amp;&amp; node --check /tmp/si-engine.js" verdict=PASS notes=4 embedded script blocks extracted (4832/12981/21103/1988 bytes); largest parses clean under node --check. Full page NOT_RUN in DOM (needs h</t>
  </si>
  <si>
    <t xml:space="preserve">ideas=6 parts=16 gates=8 cells=13 head=c20c1c8 evidence-sampled=true (keeper JSON.parse+schema re-validation)</t>
  </si>
  <si>
    <t xml:space="preserve">cmd="cd /home/z/my-project/si-fleet/tidepool &amp;&amp; npm test" verdict=PASS notes=tidepool suite runs fully offline on mocks: 'tide-pool smoke: 18 passed, 0 failed' + node:test 13/13 pass (98ms) covering JEV gate floor ref</t>
  </si>
  <si>
    <t xml:space="preserve">ideas=5 parts=12 gates=6 cells=11 head=5aa850d evidence-sampled=true (keeper JSON.parse+schema re-validation)</t>
  </si>
  <si>
    <t xml:space="preserve">cmd="node --check /home/z/my-project/quilt-atlas/scripts/build_atlas.mjs" verdict=PASS notes=Generator parses clean. Full re-inventory NOT_RUN: requires GITHUB_TOKEN and network (per README usage), both out of scope for this lane. at</t>
  </si>
  <si>
    <t xml:space="preserve">ideas=6 parts=14 gates=3 cells=12 head=c8355d6 evidence-sampled=true (keeper JSON.parse+schema re-validation)</t>
  </si>
  <si>
    <t xml:space="preserve">cmd="node --check /home/z/my-project/quilt-codespace/scripts/quilt-http-server.js" verdict=PASS notes=The HTTP API server parses clean. Booting the three-service stack NOT_RUN: it is a Codespace deployment (ttyd + HTTP + dashboard via post-cr</t>
  </si>
  <si>
    <t xml:space="preserve">ideas=8 parts=16 gates=9 cells=13 head=f0034fd evidence-sampled=true (keeper JSON.parse+schema re-validation)</t>
  </si>
  <si>
    <t xml:space="preserve">cmd="cd /home/z/my-project/breakthrough-prospector &amp;&amp; python3 tools/score.py" verdict=PASS notes=The scorer RAN offline and emitted the live table: E1 80 RUN (bug-injection self-play), E6 64 RUN, E3 60 RUN with '! F cap: external depende</t>
  </si>
  <si>
    <t xml:space="preserve">ideas=5 parts=16 gates=5 cells=12 head=c20c1c8 evidence-sampled=true (keeper JSON.parse+schema re-validation)</t>
  </si>
  <si>
    <t xml:space="preserve">cmd="node --check craftmind-ranch/src/dna.js &amp;&amp; node --check craftmind-ranch/src/evolution-engine.js" verdict=PASS notes=Core ranch modules parse clean. Test suites NOT_RUN: tests/test-all.js + integration tests target a Worker/runtime harness not present offli</t>
  </si>
  <si>
    <t xml:space="preserve">ideas=10 parts=24 gates=9 cells=17 head=fdfed69 evidence-sampled=true (keeper JSON.parse+schema re-validation)</t>
  </si>
  <si>
    <t xml:space="preserve">cmd="cd /home/z/my-project/quilt-upstream-main/packages/core &amp;&amp; npx vitest run" verdict=PASS notes=Upstream engine core: 4 test files, 36/36 passed in 954ms, fully offline (vitest resolved from the repo's own node_modules). Also python3 -m</t>
  </si>
  <si>
    <t xml:space="preserve">ideas=5 parts=17 gates=5 cells=13 head=d05e1d9 evidence-sampled=true (keeper JSON.parse+schema re-validation)</t>
  </si>
  <si>
    <t xml:space="preserve">cmd="node -e \"JSON.parse each file in jev-garden/scouts/raw/*.json\"" verdict=PASS notes=All 5 raw scout JSONs parse: V-JEPA_2_JEPA_world_mode.json (4 results), test-time_training_layer.json (7), knowledge_distillation_L.json (7)</t>
  </si>
  <si>
    <t xml:space="preserve">JEV gate sweep — pre-registered rules, aggregates, per-work verdicts</t>
  </si>
  <si>
    <t xml:space="preserve">rule</t>
  </si>
  <si>
    <t xml:space="preserve">decision (receipted before the run)</t>
  </si>
  <si>
    <t xml:space="preserve">SOFT</t>
  </si>
  <si>
    <t xml:space="preserve">HOLE</t>
  </si>
  <si>
    <t xml:space="preserve">missing_layers</t>
  </si>
  <si>
    <t xml:space="preserve">fm_parts</t>
  </si>
  <si>
    <t xml:space="preserve">smoke</t>
  </si>
  <si>
    <t xml:space="preserve">R1 OPEN</t>
  </si>
  <si>
    <t xml:space="preserve">gate non-empty AND gate_kind non-null -&gt; emit(g=0.75, e=0.25, d=0.50)</t>
  </si>
  <si>
    <t xml:space="preserve">—</t>
  </si>
  <si>
    <t xml:space="preserve">R2 SOFT</t>
  </si>
  <si>
    <t xml:space="preserve">gate non-empty AND gate_kind null -&gt; emit(g=0.50, e=0.50, d=0.50)</t>
  </si>
  <si>
    <t xml:space="preserve">0</t>
  </si>
  <si>
    <t xml:space="preserve">R3 HOLE</t>
  </si>
  <si>
    <t xml:space="preserve">gate empty/null -&gt; observe(d=0.20): explicit, recorded, LOCAL collapse</t>
  </si>
  <si>
    <t xml:space="preserve">R4 SEAL</t>
  </si>
  <si>
    <t xml:space="preserve">gate_kind seal|conservation -&gt; extra reinforcing emit(g=0.85, e=0.15, d=0.50)</t>
  </si>
  <si>
    <t xml:space="preserve">R5 LAYERHOLE</t>
  </si>
  <si>
    <t xml:space="preserve">work missing any layer 0-4 -&gt; observe at that layer's cell</t>
  </si>
  <si>
    <t xml:space="preserve">R6 THIN</t>
  </si>
  <si>
    <t xml:space="preserve">work with &lt;5 gated parts -&gt; warning emit(g=0.35, e=0.65, d=0.50)</t>
  </si>
  <si>
    <t xml:space="preserve">geometry</t>
  </si>
  <si>
    <t xml:space="preserve">work i -&gt; q=(i%7)-3 ; layer L -&gt; r=L-2 ; radius 6 ; exoj policy=ledger</t>
  </si>
  <si>
    <t xml:space="preserve">atlas-sweep: deterministic structural judgment; no LLM, no network</t>
  </si>
  <si>
    <t xml:space="preserve">2</t>
  </si>
  <si>
    <t xml:space="preserve">gate_kind histogram (atlas totals)</t>
  </si>
  <si>
    <t xml:space="preserve">count</t>
  </si>
  <si>
    <t xml:space="preserve">3</t>
  </si>
  <si>
    <t xml:space="preserve">layer histogram</t>
  </si>
  <si>
    <t xml:space="preserve">0 substrate</t>
  </si>
  <si>
    <t xml:space="preserve">1 mechanism</t>
  </si>
  <si>
    <t xml:space="preserve">2 policy</t>
  </si>
  <si>
    <t xml:space="preserve">3 interface</t>
  </si>
  <si>
    <t xml:space="preserve">4 evidence</t>
  </si>
  <si>
    <t xml:space="preserve">chain of record</t>
  </si>
  <si>
    <t xml:space="preserve">deformations</t>
  </si>
  <si>
    <t xml:space="preserve">observations (collapses)</t>
  </si>
  <si>
    <t xml:space="preserve">prob_open at close</t>
  </si>
  <si>
    <t xml:space="preserve">zone at close</t>
  </si>
  <si>
    <t xml:space="preserve">chain links</t>
  </si>
  <si>
    <t xml:space="preserve">chain verify ok</t>
  </si>
  <si>
    <t xml:space="preserve">True</t>
  </si>
  <si>
    <t xml:space="preserve">chain tip</t>
  </si>
  <si>
    <t xml:space="preserve">13463fd02be3ac4fd18dce7c9c530d547fdda360b09d25999418b6b1301070b0</t>
  </si>
  <si>
    <t xml:space="preserve">Review — live cross-checks</t>
  </si>
  <si>
    <t xml:space="preserve">check</t>
  </si>
  <si>
    <t xml:space="preserve">expected</t>
  </si>
  <si>
    <t xml:space="preserve">actual</t>
  </si>
  <si>
    <t xml:space="preserve">status</t>
  </si>
  <si>
    <t xml:space="preserve">Parts row count</t>
  </si>
  <si>
    <t xml:space="preserve">Gates row count = gated parts</t>
  </si>
  <si>
    <t xml:space="preserve">Gate-kind histogram sum</t>
  </si>
  <si>
    <t xml:space="preserve">Layer histogram sum</t>
  </si>
  <si>
    <t xml:space="preserve">Ideas row count</t>
  </si>
  <si>
    <t xml:space="preserve">Cells row count</t>
  </si>
  <si>
    <t xml:space="preserve">Ledger row count</t>
  </si>
  <si>
    <t xml:space="preserve">Corpus works rows</t>
  </si>
</sst>
</file>

<file path=xl/styles.xml><?xml version="1.0" encoding="utf-8"?>
<styleSheet xmlns="http://schemas.openxmlformats.org/spreadsheetml/2006/main">
  <numFmts count="3">
    <numFmt numFmtId="164" formatCode="General"/>
    <numFmt numFmtId="165" formatCode="#,##0"/>
    <numFmt numFmtId="166" formatCode="0.0000"/>
  </numFmts>
  <fonts count="12">
    <font>
      <sz val="11"/>
      <color theme="1"/>
      <name val="Calibri"/>
      <family val="2"/>
      <charset val="1"/>
    </font>
    <font>
      <sz val="10"/>
      <name val="Arial"/>
      <family val="0"/>
    </font>
    <font>
      <sz val="10"/>
      <name val="Arial"/>
      <family val="0"/>
    </font>
    <font>
      <sz val="10"/>
      <name val="Arial"/>
      <family val="0"/>
    </font>
    <font>
      <sz val="16"/>
      <color rgb="FF1B2A4A"/>
      <name val="Noto Sans CJK SC"/>
      <family val="0"/>
      <charset val="1"/>
    </font>
    <font>
      <sz val="11"/>
      <color rgb="FFFFFFFF"/>
      <name val="Noto Sans CJK SC"/>
      <family val="0"/>
      <charset val="1"/>
    </font>
    <font>
      <sz val="11"/>
      <color rgb="FF37352F"/>
      <name val="Noto Sans CJK SC"/>
      <family val="0"/>
      <charset val="1"/>
    </font>
    <font>
      <sz val="11"/>
      <color rgb="FF1B2A4A"/>
      <name val="Noto Sans CJK SC"/>
      <family val="0"/>
      <charset val="1"/>
    </font>
    <font>
      <sz val="11"/>
      <color rgb="FF37352F"/>
      <name val="WenQuanYi Zen Hei"/>
      <family val="2"/>
      <charset val="1"/>
    </font>
    <font>
      <sz val="14"/>
      <color rgb="FF000000"/>
      <name val="Noto Sans CJK SC"/>
      <family val="2"/>
    </font>
    <font>
      <sz val="10"/>
      <color rgb="FF000000"/>
      <name val="Calibri"/>
      <family val="2"/>
    </font>
    <font>
      <sz val="10"/>
      <color rgb="FF000000"/>
      <name val="Noto Sans CJK SC"/>
      <family val="2"/>
    </font>
  </fonts>
  <fills count="5">
    <fill>
      <patternFill patternType="none"/>
    </fill>
    <fill>
      <patternFill patternType="gray125"/>
    </fill>
    <fill>
      <patternFill patternType="solid">
        <fgColor rgb="FF1B2A4A"/>
        <bgColor rgb="FF37352F"/>
      </patternFill>
    </fill>
    <fill>
      <patternFill patternType="solid">
        <fgColor rgb="FFFFFFFF"/>
        <bgColor rgb="FFF7F7F5"/>
      </patternFill>
    </fill>
    <fill>
      <patternFill patternType="solid">
        <fgColor rgb="FFF7F7F5"/>
        <bgColor rgb="FFFFFFFF"/>
      </patternFill>
    </fill>
  </fills>
  <borders count="2">
    <border diagonalUp="false" diagonalDown="false">
      <left/>
      <right/>
      <top/>
      <bottom/>
      <diagonal/>
    </border>
    <border diagonalUp="false" diagonalDown="false">
      <left/>
      <right/>
      <top/>
      <bottom style="thin">
        <color rgb="FFE9E9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fals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left" vertical="top" textRotation="0" wrapText="tru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6" fillId="3" borderId="0" xfId="0" applyFont="true" applyBorder="false" applyAlignment="true" applyProtection="true">
      <alignment horizontal="right" vertical="center" textRotation="0" wrapText="false" indent="0" shrinkToFit="false"/>
      <protection locked="true" hidden="false"/>
    </xf>
    <xf numFmtId="165" fontId="6" fillId="4" borderId="0" xfId="0" applyFont="true" applyBorder="false" applyAlignment="true" applyProtection="true">
      <alignment horizontal="right" vertical="center" textRotation="0" wrapText="false" indent="0" shrinkToFit="false"/>
      <protection locked="true" hidden="false"/>
    </xf>
    <xf numFmtId="164" fontId="6" fillId="3" borderId="0" xfId="0" applyFont="true" applyBorder="false" applyAlignment="true" applyProtection="true">
      <alignment horizontal="right" vertical="center" textRotation="0" wrapText="false" indent="0" shrinkToFit="false"/>
      <protection locked="true" hidden="false"/>
    </xf>
    <xf numFmtId="166" fontId="6" fillId="3" borderId="0" xfId="0" applyFont="true" applyBorder="false" applyAlignment="true" applyProtection="true">
      <alignment horizontal="right" vertical="center" textRotation="0" wrapText="false" indent="0" shrinkToFit="false"/>
      <protection locked="true" hidden="false"/>
    </xf>
    <xf numFmtId="164" fontId="6" fillId="4" borderId="0" xfId="0" applyFont="true" applyBorder="false" applyAlignment="true" applyProtection="true">
      <alignment horizontal="right" vertical="center" textRotation="0" wrapText="false" indent="0" shrinkToFit="false"/>
      <protection locked="true" hidden="false"/>
    </xf>
    <xf numFmtId="166" fontId="6" fillId="4" borderId="0" xfId="0" applyFont="true" applyBorder="false" applyAlignment="true" applyProtection="tru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7F7F5"/>
      <rgbColor rgb="FFE9E9E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B2A4A"/>
      <rgbColor rgb="FF339966"/>
      <rgbColor rgb="FF003300"/>
      <rgbColor rgb="FF333300"/>
      <rgbColor rgb="FF993300"/>
      <rgbColor rgb="FF993366"/>
      <rgbColor rgb="FF333399"/>
      <rgbColor rgb="FF3735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400" strike="noStrike" u="none">
                <a:solidFill>
                  <a:srgbClr val="000000"/>
                </a:solidFill>
                <a:uFillTx/>
                <a:latin typeface="Noto Sans CJK SC"/>
                <a:ea typeface="Noto Sans CJK SC"/>
              </a:rPr>
              <a:t>Gate kinds across the atlas</a:t>
            </a:r>
          </a:p>
        </c:rich>
      </c:tx>
      <c:overlay val="0"/>
      <c:spPr>
        <a:noFill/>
        <a:ln w="0">
          <a:noFill/>
        </a:ln>
      </c:spPr>
    </c:title>
    <c:autoTitleDeleted val="0"/>
    <c:plotArea>
      <c:barChart>
        <c:barDir val="bar"/>
        <c:grouping val="clustered"/>
        <c:varyColors val="0"/>
        <c:ser>
          <c:idx val="0"/>
          <c:order val="0"/>
          <c:tx>
            <c:strRef>
              <c:f>Sweep!C16</c:f>
              <c:strCache>
                <c:ptCount val="1"/>
                <c:pt idx="0">
                  <c:v>count</c:v>
                </c:pt>
              </c:strCache>
            </c:strRef>
          </c:tx>
          <c:spPr>
            <a:solidFill>
              <a:srgbClr val="1b2a4a"/>
            </a:solidFill>
            <a:ln w="0">
              <a:noFill/>
            </a:ln>
          </c:spPr>
          <c:invertIfNegative val="0"/>
          <c:dLbls>
            <c:txPr>
              <a:bodyPr wrap="non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Sweep!$B$17:$B$23</c:f>
              <c:strCache>
                <c:ptCount val="7"/>
                <c:pt idx="0">
                  <c:v>invariant</c:v>
                </c:pt>
                <c:pt idx="1">
                  <c:v>postcondition</c:v>
                </c:pt>
                <c:pt idx="2">
                  <c:v>admission</c:v>
                </c:pt>
                <c:pt idx="3">
                  <c:v>seal</c:v>
                </c:pt>
                <c:pt idx="4">
                  <c:v>precondition</c:v>
                </c:pt>
                <c:pt idx="5">
                  <c:v>budget</c:v>
                </c:pt>
                <c:pt idx="6">
                  <c:v>conservation</c:v>
                </c:pt>
              </c:strCache>
            </c:strRef>
          </c:cat>
          <c:val>
            <c:numRef>
              <c:f>Sweep!$C$17:$C$23</c:f>
              <c:numCache>
                <c:formatCode>General</c:formatCode>
                <c:ptCount val="7"/>
                <c:pt idx="0">
                  <c:v>100</c:v>
                </c:pt>
                <c:pt idx="1">
                  <c:v>87</c:v>
                </c:pt>
                <c:pt idx="2">
                  <c:v>67</c:v>
                </c:pt>
                <c:pt idx="3">
                  <c:v>52</c:v>
                </c:pt>
                <c:pt idx="4">
                  <c:v>50</c:v>
                </c:pt>
                <c:pt idx="5">
                  <c:v>25</c:v>
                </c:pt>
                <c:pt idx="6">
                  <c:v>20</c:v>
                </c:pt>
              </c:numCache>
            </c:numRef>
          </c:val>
        </c:ser>
        <c:gapWidth val="150"/>
        <c:overlap val="0"/>
        <c:axId val="67672734"/>
        <c:axId val="52710643"/>
      </c:barChart>
      <c:catAx>
        <c:axId val="6767273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2710643"/>
        <c:crosses val="autoZero"/>
        <c:auto val="1"/>
        <c:lblAlgn val="ctr"/>
        <c:lblOffset val="100"/>
        <c:noMultiLvlLbl val="0"/>
      </c:catAx>
      <c:valAx>
        <c:axId val="52710643"/>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0" sz="1000" strike="noStrike" u="none">
                    <a:solidFill>
                      <a:srgbClr val="000000"/>
                    </a:solidFill>
                    <a:uFillTx/>
                    <a:latin typeface="Noto Sans CJK SC"/>
                    <a:ea typeface="Noto Sans CJK SC"/>
                  </a:rPr>
                  <a:t>gates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767273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35</xdr:row>
      <xdr:rowOff>0</xdr:rowOff>
    </xdr:from>
    <xdr:to>
      <xdr:col>9</xdr:col>
      <xdr:colOff>119880</xdr:colOff>
      <xdr:row>48</xdr:row>
      <xdr:rowOff>162360</xdr:rowOff>
    </xdr:to>
    <xdr:graphicFrame>
      <xdr:nvGraphicFramePr>
        <xdr:cNvPr id="0" name="Chart 1"/>
        <xdr:cNvGraphicFramePr/>
      </xdr:nvGraphicFramePr>
      <xdr:xfrm>
        <a:off x="7964640" y="9429840"/>
        <a:ext cx="5758920" cy="323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100"/>
    <col collapsed="false" customWidth="true" hidden="false" outlineLevel="0" max="4" min="4" style="1" width="60"/>
  </cols>
  <sheetData>
    <row r="2" customFormat="false" ht="31.5" hidden="false" customHeight="true" outlineLevel="0" collapsed="false">
      <c r="B2" s="2" t="s">
        <v>0</v>
      </c>
      <c r="C2" s="2"/>
      <c r="D2" s="2"/>
      <c r="E2" s="2"/>
    </row>
    <row r="3" customFormat="false" ht="7.5" hidden="false" customHeight="true" outlineLevel="0" collapsed="false"/>
    <row r="4" customFormat="false" ht="27.75" hidden="false" customHeight="true" outlineLevel="0" collapsed="false">
      <c r="B4" s="3" t="s">
        <v>1</v>
      </c>
      <c r="C4" s="3" t="s">
        <v>2</v>
      </c>
    </row>
    <row r="5" customFormat="false" ht="21.75" hidden="false" customHeight="true" outlineLevel="0" collapsed="false">
      <c r="B5" s="4" t="s">
        <v>3</v>
      </c>
      <c r="C5" s="5" t="s">
        <v>4</v>
      </c>
    </row>
    <row r="6" customFormat="false" ht="21.75" hidden="false" customHeight="true" outlineLevel="0" collapsed="false">
      <c r="B6" s="6" t="s">
        <v>5</v>
      </c>
      <c r="C6" s="7" t="s">
        <v>6</v>
      </c>
    </row>
    <row r="7" customFormat="false" ht="21.75" hidden="false" customHeight="true" outlineLevel="0" collapsed="false">
      <c r="B7" s="4" t="s">
        <v>7</v>
      </c>
      <c r="C7" s="5" t="s">
        <v>8</v>
      </c>
    </row>
    <row r="8" customFormat="false" ht="21.75" hidden="false" customHeight="true" outlineLevel="0" collapsed="false">
      <c r="B8" s="6" t="s">
        <v>9</v>
      </c>
      <c r="C8" s="7" t="n">
        <v>528</v>
      </c>
    </row>
    <row r="9" customFormat="false" ht="21.75" hidden="false" customHeight="true" outlineLevel="0" collapsed="false">
      <c r="B9" s="4" t="s">
        <v>10</v>
      </c>
      <c r="C9" s="5" t="s">
        <v>11</v>
      </c>
    </row>
    <row r="10" customFormat="false" ht="21.75" hidden="false" customHeight="true" outlineLevel="0" collapsed="false">
      <c r="B10" s="6" t="s">
        <v>12</v>
      </c>
      <c r="C10" s="7" t="n">
        <v>127</v>
      </c>
    </row>
    <row r="11" customFormat="false" ht="21.75" hidden="false" customHeight="true" outlineLevel="0" collapsed="false">
      <c r="B11" s="4" t="s">
        <v>13</v>
      </c>
      <c r="C11" s="5" t="s">
        <v>14</v>
      </c>
    </row>
    <row r="12" customFormat="false" ht="21.75" hidden="false" customHeight="true" outlineLevel="0" collapsed="false">
      <c r="B12" s="6" t="s">
        <v>15</v>
      </c>
      <c r="C12" s="7" t="s">
        <v>16</v>
      </c>
    </row>
    <row r="13" customFormat="false" ht="21.75" hidden="false" customHeight="true" outlineLevel="0" collapsed="false">
      <c r="B13" s="4" t="s">
        <v>17</v>
      </c>
      <c r="C13" s="5" t="s">
        <v>18</v>
      </c>
    </row>
    <row r="14" customFormat="false" ht="21.75" hidden="false" customHeight="true" outlineLevel="0" collapsed="false">
      <c r="B14" s="6" t="s">
        <v>19</v>
      </c>
      <c r="C14" s="7" t="s">
        <v>20</v>
      </c>
    </row>
    <row r="17" customFormat="false" ht="15" hidden="false" customHeight="false" outlineLevel="0" collapsed="false">
      <c r="B17" s="8" t="s">
        <v>21</v>
      </c>
    </row>
    <row r="18" customFormat="false" ht="21.75" hidden="false" customHeight="true" outlineLevel="0" collapsed="false">
      <c r="B18" s="4" t="n">
        <v>0</v>
      </c>
      <c r="C18" s="4" t="s">
        <v>22</v>
      </c>
      <c r="D18" s="4" t="s">
        <v>23</v>
      </c>
    </row>
    <row r="19" customFormat="false" ht="21.75" hidden="false" customHeight="true" outlineLevel="0" collapsed="false">
      <c r="B19" s="6" t="n">
        <v>1</v>
      </c>
      <c r="C19" s="6" t="s">
        <v>24</v>
      </c>
      <c r="D19" s="6" t="s">
        <v>25</v>
      </c>
    </row>
    <row r="20" customFormat="false" ht="21.75" hidden="false" customHeight="true" outlineLevel="0" collapsed="false">
      <c r="B20" s="4" t="n">
        <v>2</v>
      </c>
      <c r="C20" s="4" t="s">
        <v>26</v>
      </c>
      <c r="D20" s="4" t="s">
        <v>27</v>
      </c>
    </row>
    <row r="21" customFormat="false" ht="21.75" hidden="false" customHeight="true" outlineLevel="0" collapsed="false">
      <c r="B21" s="6" t="n">
        <v>3</v>
      </c>
      <c r="C21" s="6" t="s">
        <v>28</v>
      </c>
      <c r="D21" s="6" t="s">
        <v>29</v>
      </c>
    </row>
    <row r="22" customFormat="false" ht="21.75" hidden="false" customHeight="true" outlineLevel="0" collapsed="false">
      <c r="B22" s="4" t="n">
        <v>4</v>
      </c>
      <c r="C22" s="4" t="s">
        <v>30</v>
      </c>
      <c r="D22" s="4" t="s">
        <v>31</v>
      </c>
    </row>
  </sheetData>
  <mergeCells count="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3" min="3" style="1" width="10"/>
    <col collapsed="false" customWidth="true" hidden="false" outlineLevel="0" max="4" min="4" style="1" width="34"/>
    <col collapsed="false" customWidth="true" hidden="false" outlineLevel="0" max="5" min="5" style="1" width="10"/>
    <col collapsed="false" customWidth="true" hidden="false" outlineLevel="0" max="6" min="6" style="1" width="26"/>
    <col collapsed="false" customWidth="true" hidden="false" outlineLevel="0" max="7" min="7" style="1" width="40"/>
    <col collapsed="false" customWidth="true" hidden="false" outlineLevel="0" max="8" min="8" style="1" width="48"/>
    <col collapsed="false" customWidth="true" hidden="false" outlineLevel="0" max="11" min="9" style="1" width="8"/>
    <col collapsed="false" customWidth="true" hidden="false" outlineLevel="0" max="16" min="12" style="1" width="6"/>
    <col collapsed="false" customWidth="true" hidden="false" outlineLevel="0" max="17" min="17" style="1" width="8"/>
    <col collapsed="false" customWidth="true" hidden="false" outlineLevel="0" max="18" min="18" style="1" width="10"/>
  </cols>
  <sheetData>
    <row r="2" customFormat="false" ht="31.5" hidden="false" customHeight="true" outlineLevel="0" collapsed="false">
      <c r="B2" s="2" t="s">
        <v>32</v>
      </c>
      <c r="C2" s="2"/>
      <c r="D2" s="2"/>
      <c r="E2" s="2"/>
      <c r="F2" s="2"/>
      <c r="G2" s="2"/>
      <c r="H2" s="2"/>
      <c r="I2" s="2"/>
      <c r="J2" s="2"/>
      <c r="K2" s="2"/>
      <c r="L2" s="2"/>
      <c r="M2" s="2"/>
      <c r="N2" s="2"/>
      <c r="O2" s="2"/>
      <c r="P2" s="2"/>
      <c r="Q2" s="2"/>
      <c r="R2" s="2"/>
    </row>
    <row r="3" customFormat="false" ht="7.5" hidden="false" customHeight="true" outlineLevel="0" collapsed="false"/>
    <row r="4" customFormat="false" ht="27.75" hidden="false" customHeight="true" outlineLevel="0" collapsed="false">
      <c r="B4" s="3" t="s">
        <v>33</v>
      </c>
      <c r="C4" s="3" t="s">
        <v>34</v>
      </c>
      <c r="D4" s="3" t="s">
        <v>35</v>
      </c>
      <c r="E4" s="3" t="s">
        <v>36</v>
      </c>
      <c r="F4" s="3" t="s">
        <v>37</v>
      </c>
      <c r="G4" s="3" t="s">
        <v>38</v>
      </c>
      <c r="H4" s="3" t="s">
        <v>39</v>
      </c>
      <c r="I4" s="3" t="s">
        <v>40</v>
      </c>
      <c r="J4" s="3" t="s">
        <v>41</v>
      </c>
      <c r="K4" s="3" t="s">
        <v>42</v>
      </c>
      <c r="L4" s="3" t="s">
        <v>43</v>
      </c>
      <c r="M4" s="3" t="s">
        <v>44</v>
      </c>
      <c r="N4" s="3" t="s">
        <v>45</v>
      </c>
      <c r="O4" s="3" t="s">
        <v>46</v>
      </c>
      <c r="P4" s="3" t="s">
        <v>47</v>
      </c>
      <c r="Q4" s="3" t="s">
        <v>48</v>
      </c>
      <c r="R4" s="3" t="s">
        <v>49</v>
      </c>
    </row>
    <row r="5" customFormat="false" ht="21.75" hidden="false" customHeight="true" outlineLevel="0" collapsed="false">
      <c r="B5" s="4" t="s">
        <v>50</v>
      </c>
      <c r="C5" s="4" t="s">
        <v>22</v>
      </c>
      <c r="D5" s="4" t="s">
        <v>51</v>
      </c>
      <c r="E5" s="4" t="s">
        <v>52</v>
      </c>
      <c r="F5" s="4" t="s">
        <v>53</v>
      </c>
      <c r="G5" s="4" t="s">
        <v>54</v>
      </c>
      <c r="H5" s="9" t="s">
        <v>55</v>
      </c>
      <c r="I5" s="9" t="n">
        <f aca="false">COUNTIF(Parts!B5:B532,B5)</f>
        <v>22</v>
      </c>
      <c r="J5" s="9" t="n">
        <f aca="false">COUNTIFS(Parts!B5:B532,B5,Parts!K5:K532,"&lt;&gt;")</f>
        <v>21</v>
      </c>
      <c r="K5" s="9" t="n">
        <f aca="false">I5-J5</f>
        <v>1</v>
      </c>
      <c r="L5" s="9" t="n">
        <f aca="false">COUNTIFS(Parts!B5:B532,B5,Parts!E5:E532,0)</f>
        <v>4</v>
      </c>
      <c r="M5" s="9" t="n">
        <f aca="false">COUNTIFS(Parts!B5:B532,B5,Parts!E5:E532,1)</f>
        <v>9</v>
      </c>
      <c r="N5" s="9" t="n">
        <f aca="false">COUNTIFS(Parts!B5:B532,B5,Parts!E5:E532,2)</f>
        <v>3</v>
      </c>
      <c r="O5" s="9" t="n">
        <f aca="false">COUNTIFS(Parts!B5:B532,B5,Parts!E5:E532,3)</f>
        <v>2</v>
      </c>
      <c r="P5" s="9" t="n">
        <f aca="false">COUNTIFS(Parts!B5:B532,B5,Parts!E5:E532,4)</f>
        <v>4</v>
      </c>
      <c r="Q5" s="9"/>
      <c r="R5" s="4" t="n">
        <v>0.1226</v>
      </c>
    </row>
    <row r="6" customFormat="false" ht="21.75" hidden="false" customHeight="true" outlineLevel="0" collapsed="false">
      <c r="B6" s="6" t="s">
        <v>56</v>
      </c>
      <c r="C6" s="6" t="s">
        <v>22</v>
      </c>
      <c r="D6" s="6" t="s">
        <v>57</v>
      </c>
      <c r="E6" s="6" t="s">
        <v>58</v>
      </c>
      <c r="F6" s="6" t="s">
        <v>59</v>
      </c>
      <c r="G6" s="6" t="s">
        <v>60</v>
      </c>
      <c r="H6" s="10" t="s">
        <v>61</v>
      </c>
      <c r="I6" s="10" t="n">
        <f aca="false">COUNTIF(Parts!B5:B532,B6)</f>
        <v>18</v>
      </c>
      <c r="J6" s="10" t="n">
        <f aca="false">COUNTIFS(Parts!B5:B532,B6,Parts!K5:K532,"&lt;&gt;")</f>
        <v>15</v>
      </c>
      <c r="K6" s="10" t="n">
        <f aca="false">I6-J6</f>
        <v>3</v>
      </c>
      <c r="L6" s="10" t="n">
        <f aca="false">COUNTIFS(Parts!B5:B532,B6,Parts!E5:E532,0)</f>
        <v>4</v>
      </c>
      <c r="M6" s="10" t="n">
        <f aca="false">COUNTIFS(Parts!B5:B532,B6,Parts!E5:E532,1)</f>
        <v>7</v>
      </c>
      <c r="N6" s="10" t="n">
        <f aca="false">COUNTIFS(Parts!B5:B532,B6,Parts!E5:E532,2)</f>
        <v>2</v>
      </c>
      <c r="O6" s="10" t="n">
        <f aca="false">COUNTIFS(Parts!B5:B532,B6,Parts!E5:E532,3)</f>
        <v>1</v>
      </c>
      <c r="P6" s="10" t="n">
        <f aca="false">COUNTIFS(Parts!B5:B532,B6,Parts!E5:E532,4)</f>
        <v>4</v>
      </c>
      <c r="Q6" s="10"/>
      <c r="R6" s="6" t="n">
        <v>0.1308</v>
      </c>
    </row>
    <row r="7" customFormat="false" ht="21.75" hidden="false" customHeight="true" outlineLevel="0" collapsed="false">
      <c r="B7" s="4" t="s">
        <v>62</v>
      </c>
      <c r="C7" s="4" t="s">
        <v>22</v>
      </c>
      <c r="D7" s="4" t="s">
        <v>63</v>
      </c>
      <c r="E7" s="4" t="s">
        <v>64</v>
      </c>
      <c r="F7" s="4" t="s">
        <v>65</v>
      </c>
      <c r="G7" s="4" t="s">
        <v>66</v>
      </c>
      <c r="H7" s="9" t="s">
        <v>67</v>
      </c>
      <c r="I7" s="9" t="n">
        <f aca="false">COUNTIF(Parts!B5:B532,B7)</f>
        <v>20</v>
      </c>
      <c r="J7" s="9" t="n">
        <f aca="false">COUNTIFS(Parts!B5:B532,B7,Parts!K5:K532,"&lt;&gt;")</f>
        <v>18</v>
      </c>
      <c r="K7" s="9" t="n">
        <f aca="false">I7-J7</f>
        <v>2</v>
      </c>
      <c r="L7" s="9" t="n">
        <f aca="false">COUNTIFS(Parts!B5:B532,B7,Parts!E5:E532,0)</f>
        <v>4</v>
      </c>
      <c r="M7" s="9" t="n">
        <f aca="false">COUNTIFS(Parts!B5:B532,B7,Parts!E5:E532,1)</f>
        <v>4</v>
      </c>
      <c r="N7" s="9" t="n">
        <f aca="false">COUNTIFS(Parts!B5:B532,B7,Parts!E5:E532,2)</f>
        <v>7</v>
      </c>
      <c r="O7" s="9" t="n">
        <f aca="false">COUNTIFS(Parts!B5:B532,B7,Parts!E5:E532,3)</f>
        <v>2</v>
      </c>
      <c r="P7" s="9" t="n">
        <f aca="false">COUNTIFS(Parts!B5:B532,B7,Parts!E5:E532,4)</f>
        <v>3</v>
      </c>
      <c r="Q7" s="9"/>
      <c r="R7" s="4" t="n">
        <v>0.1132</v>
      </c>
    </row>
    <row r="8" customFormat="false" ht="21.75" hidden="false" customHeight="true" outlineLevel="0" collapsed="false">
      <c r="B8" s="6" t="s">
        <v>68</v>
      </c>
      <c r="C8" s="6" t="s">
        <v>22</v>
      </c>
      <c r="D8" s="6" t="s">
        <v>69</v>
      </c>
      <c r="E8" s="6" t="s">
        <v>70</v>
      </c>
      <c r="F8" s="6" t="s">
        <v>71</v>
      </c>
      <c r="G8" s="6" t="s">
        <v>72</v>
      </c>
      <c r="H8" s="10" t="s">
        <v>73</v>
      </c>
      <c r="I8" s="10" t="n">
        <f aca="false">COUNTIF(Parts!B5:B532,B8)</f>
        <v>21</v>
      </c>
      <c r="J8" s="10" t="n">
        <f aca="false">COUNTIFS(Parts!B5:B532,B8,Parts!K5:K532,"&lt;&gt;")</f>
        <v>20</v>
      </c>
      <c r="K8" s="10" t="n">
        <f aca="false">I8-J8</f>
        <v>1</v>
      </c>
      <c r="L8" s="10" t="n">
        <f aca="false">COUNTIFS(Parts!B5:B532,B8,Parts!E5:E532,0)</f>
        <v>4</v>
      </c>
      <c r="M8" s="10" t="n">
        <f aca="false">COUNTIFS(Parts!B5:B532,B8,Parts!E5:E532,1)</f>
        <v>4</v>
      </c>
      <c r="N8" s="10" t="n">
        <f aca="false">COUNTIFS(Parts!B5:B532,B8,Parts!E5:E532,2)</f>
        <v>4</v>
      </c>
      <c r="O8" s="10" t="n">
        <f aca="false">COUNTIFS(Parts!B5:B532,B8,Parts!E5:E532,3)</f>
        <v>3</v>
      </c>
      <c r="P8" s="10" t="n">
        <f aca="false">COUNTIFS(Parts!B5:B532,B8,Parts!E5:E532,4)</f>
        <v>6</v>
      </c>
      <c r="Q8" s="10"/>
      <c r="R8" s="6" t="n">
        <v>0.137</v>
      </c>
    </row>
    <row r="9" customFormat="false" ht="21.75" hidden="false" customHeight="true" outlineLevel="0" collapsed="false">
      <c r="B9" s="4" t="s">
        <v>74</v>
      </c>
      <c r="C9" s="4" t="s">
        <v>75</v>
      </c>
      <c r="D9" s="4" t="s">
        <v>76</v>
      </c>
      <c r="E9" s="4" t="s">
        <v>77</v>
      </c>
      <c r="F9" s="4" t="s">
        <v>78</v>
      </c>
      <c r="G9" s="4" t="s">
        <v>79</v>
      </c>
      <c r="H9" s="9" t="s">
        <v>80</v>
      </c>
      <c r="I9" s="9" t="n">
        <f aca="false">COUNTIF(Parts!B5:B532,B9)</f>
        <v>26</v>
      </c>
      <c r="J9" s="9" t="n">
        <f aca="false">COUNTIFS(Parts!B5:B532,B9,Parts!K5:K532,"&lt;&gt;")</f>
        <v>26</v>
      </c>
      <c r="K9" s="9" t="n">
        <f aca="false">I9-J9</f>
        <v>0</v>
      </c>
      <c r="L9" s="9" t="n">
        <f aca="false">COUNTIFS(Parts!B5:B532,B9,Parts!E5:E532,0)</f>
        <v>2</v>
      </c>
      <c r="M9" s="9" t="n">
        <f aca="false">COUNTIFS(Parts!B5:B532,B9,Parts!E5:E532,1)</f>
        <v>10</v>
      </c>
      <c r="N9" s="9" t="n">
        <f aca="false">COUNTIFS(Parts!B5:B532,B9,Parts!E5:E532,2)</f>
        <v>5</v>
      </c>
      <c r="O9" s="9" t="n">
        <f aca="false">COUNTIFS(Parts!B5:B532,B9,Parts!E5:E532,3)</f>
        <v>6</v>
      </c>
      <c r="P9" s="9" t="n">
        <f aca="false">COUNTIFS(Parts!B5:B532,B9,Parts!E5:E532,4)</f>
        <v>3</v>
      </c>
      <c r="Q9" s="9"/>
      <c r="R9" s="4" t="n">
        <v>0.7996</v>
      </c>
    </row>
    <row r="10" customFormat="false" ht="21.75" hidden="false" customHeight="true" outlineLevel="0" collapsed="false">
      <c r="B10" s="6" t="s">
        <v>81</v>
      </c>
      <c r="C10" s="6" t="s">
        <v>75</v>
      </c>
      <c r="D10" s="6" t="s">
        <v>82</v>
      </c>
      <c r="E10" s="6" t="s">
        <v>83</v>
      </c>
      <c r="F10" s="6" t="s">
        <v>84</v>
      </c>
      <c r="G10" s="6" t="s">
        <v>85</v>
      </c>
      <c r="H10" s="10" t="s">
        <v>86</v>
      </c>
      <c r="I10" s="10" t="n">
        <f aca="false">COUNTIF(Parts!B5:B532,B10)</f>
        <v>24</v>
      </c>
      <c r="J10" s="10" t="n">
        <f aca="false">COUNTIFS(Parts!B5:B532,B10,Parts!K5:K532,"&lt;&gt;")</f>
        <v>24</v>
      </c>
      <c r="K10" s="10" t="n">
        <f aca="false">I10-J10</f>
        <v>0</v>
      </c>
      <c r="L10" s="10" t="n">
        <f aca="false">COUNTIFS(Parts!B5:B532,B10,Parts!E5:E532,0)</f>
        <v>2</v>
      </c>
      <c r="M10" s="10" t="n">
        <f aca="false">COUNTIFS(Parts!B5:B532,B10,Parts!E5:E532,1)</f>
        <v>8</v>
      </c>
      <c r="N10" s="10" t="n">
        <f aca="false">COUNTIFS(Parts!B5:B532,B10,Parts!E5:E532,2)</f>
        <v>7</v>
      </c>
      <c r="O10" s="10" t="n">
        <f aca="false">COUNTIFS(Parts!B5:B532,B10,Parts!E5:E532,3)</f>
        <v>2</v>
      </c>
      <c r="P10" s="10" t="n">
        <f aca="false">COUNTIFS(Parts!B5:B532,B10,Parts!E5:E532,4)</f>
        <v>5</v>
      </c>
      <c r="Q10" s="10"/>
      <c r="R10" s="6" t="n">
        <v>0.8523</v>
      </c>
    </row>
    <row r="11" customFormat="false" ht="21.75" hidden="false" customHeight="true" outlineLevel="0" collapsed="false">
      <c r="B11" s="4" t="s">
        <v>87</v>
      </c>
      <c r="C11" s="4" t="s">
        <v>75</v>
      </c>
      <c r="D11" s="4" t="s">
        <v>88</v>
      </c>
      <c r="E11" s="4" t="s">
        <v>89</v>
      </c>
      <c r="F11" s="4" t="s">
        <v>90</v>
      </c>
      <c r="G11" s="4" t="s">
        <v>91</v>
      </c>
      <c r="H11" s="9" t="s">
        <v>92</v>
      </c>
      <c r="I11" s="9" t="n">
        <f aca="false">COUNTIF(Parts!B5:B532,B11)</f>
        <v>26</v>
      </c>
      <c r="J11" s="9" t="n">
        <f aca="false">COUNTIFS(Parts!B5:B532,B11,Parts!K5:K532,"&lt;&gt;")</f>
        <v>24</v>
      </c>
      <c r="K11" s="9" t="n">
        <f aca="false">I11-J11</f>
        <v>2</v>
      </c>
      <c r="L11" s="9" t="n">
        <f aca="false">COUNTIFS(Parts!B5:B532,B11,Parts!E5:E532,0)</f>
        <v>4</v>
      </c>
      <c r="M11" s="9" t="n">
        <f aca="false">COUNTIFS(Parts!B5:B532,B11,Parts!E5:E532,1)</f>
        <v>10</v>
      </c>
      <c r="N11" s="9" t="n">
        <f aca="false">COUNTIFS(Parts!B5:B532,B11,Parts!E5:E532,2)</f>
        <v>4</v>
      </c>
      <c r="O11" s="9" t="n">
        <f aca="false">COUNTIFS(Parts!B5:B532,B11,Parts!E5:E532,3)</f>
        <v>5</v>
      </c>
      <c r="P11" s="9" t="n">
        <f aca="false">COUNTIFS(Parts!B5:B532,B11,Parts!E5:E532,4)</f>
        <v>3</v>
      </c>
      <c r="Q11" s="9"/>
      <c r="R11" s="4" t="n">
        <v>0.631</v>
      </c>
    </row>
    <row r="12" customFormat="false" ht="21.75" hidden="false" customHeight="true" outlineLevel="0" collapsed="false">
      <c r="B12" s="6" t="s">
        <v>93</v>
      </c>
      <c r="C12" s="6" t="s">
        <v>75</v>
      </c>
      <c r="D12" s="6" t="s">
        <v>94</v>
      </c>
      <c r="E12" s="6" t="s">
        <v>95</v>
      </c>
      <c r="F12" s="6" t="s">
        <v>96</v>
      </c>
      <c r="G12" s="6" t="s">
        <v>97</v>
      </c>
      <c r="H12" s="10" t="s">
        <v>98</v>
      </c>
      <c r="I12" s="10" t="n">
        <f aca="false">COUNTIF(Parts!B5:B532,B12)</f>
        <v>16</v>
      </c>
      <c r="J12" s="10" t="n">
        <f aca="false">COUNTIFS(Parts!B5:B532,B12,Parts!K5:K532,"&lt;&gt;")</f>
        <v>15</v>
      </c>
      <c r="K12" s="10" t="n">
        <f aca="false">I12-J12</f>
        <v>1</v>
      </c>
      <c r="L12" s="10" t="n">
        <f aca="false">COUNTIFS(Parts!B5:B532,B12,Parts!E5:E532,0)</f>
        <v>0</v>
      </c>
      <c r="M12" s="10" t="n">
        <f aca="false">COUNTIFS(Parts!B5:B532,B12,Parts!E5:E532,1)</f>
        <v>1</v>
      </c>
      <c r="N12" s="10" t="n">
        <f aca="false">COUNTIFS(Parts!B5:B532,B12,Parts!E5:E532,2)</f>
        <v>4</v>
      </c>
      <c r="O12" s="10" t="n">
        <f aca="false">COUNTIFS(Parts!B5:B532,B12,Parts!E5:E532,3)</f>
        <v>4</v>
      </c>
      <c r="P12" s="10" t="n">
        <f aca="false">COUNTIFS(Parts!B5:B532,B12,Parts!E5:E532,4)</f>
        <v>7</v>
      </c>
      <c r="Q12" s="10"/>
      <c r="R12" s="6" t="n">
        <v>0.6883</v>
      </c>
    </row>
    <row r="13" customFormat="false" ht="21.75" hidden="false" customHeight="true" outlineLevel="0" collapsed="false">
      <c r="B13" s="4" t="s">
        <v>99</v>
      </c>
      <c r="C13" s="4" t="s">
        <v>100</v>
      </c>
      <c r="D13" s="4" t="s">
        <v>101</v>
      </c>
      <c r="E13" s="4" t="s">
        <v>102</v>
      </c>
      <c r="F13" s="4" t="s">
        <v>103</v>
      </c>
      <c r="G13" s="4" t="s">
        <v>104</v>
      </c>
      <c r="H13" s="9" t="s">
        <v>105</v>
      </c>
      <c r="I13" s="9" t="n">
        <f aca="false">COUNTIF(Parts!B5:B532,B13)</f>
        <v>28</v>
      </c>
      <c r="J13" s="9" t="n">
        <f aca="false">COUNTIFS(Parts!B5:B532,B13,Parts!K5:K532,"&lt;&gt;")</f>
        <v>23</v>
      </c>
      <c r="K13" s="9" t="n">
        <f aca="false">I13-J13</f>
        <v>5</v>
      </c>
      <c r="L13" s="9" t="n">
        <f aca="false">COUNTIFS(Parts!B5:B532,B13,Parts!E5:E532,0)</f>
        <v>3</v>
      </c>
      <c r="M13" s="9" t="n">
        <f aca="false">COUNTIFS(Parts!B5:B532,B13,Parts!E5:E532,1)</f>
        <v>15</v>
      </c>
      <c r="N13" s="9" t="n">
        <f aca="false">COUNTIFS(Parts!B5:B532,B13,Parts!E5:E532,2)</f>
        <v>6</v>
      </c>
      <c r="O13" s="9" t="n">
        <f aca="false">COUNTIFS(Parts!B5:B532,B13,Parts!E5:E532,3)</f>
        <v>1</v>
      </c>
      <c r="P13" s="9" t="n">
        <f aca="false">COUNTIFS(Parts!B5:B532,B13,Parts!E5:E532,4)</f>
        <v>3</v>
      </c>
      <c r="Q13" s="9"/>
      <c r="R13" s="4" t="n">
        <v>0.1372</v>
      </c>
    </row>
    <row r="14" customFormat="false" ht="21.75" hidden="false" customHeight="true" outlineLevel="0" collapsed="false">
      <c r="B14" s="6" t="s">
        <v>106</v>
      </c>
      <c r="C14" s="6" t="s">
        <v>100</v>
      </c>
      <c r="D14" s="6" t="s">
        <v>107</v>
      </c>
      <c r="E14" s="6" t="s">
        <v>108</v>
      </c>
      <c r="F14" s="6" t="s">
        <v>109</v>
      </c>
      <c r="G14" s="6" t="s">
        <v>110</v>
      </c>
      <c r="H14" s="10" t="s">
        <v>111</v>
      </c>
      <c r="I14" s="10" t="n">
        <f aca="false">COUNTIF(Parts!B5:B532,B14)</f>
        <v>18</v>
      </c>
      <c r="J14" s="10" t="n">
        <f aca="false">COUNTIFS(Parts!B5:B532,B14,Parts!K5:K532,"&lt;&gt;")</f>
        <v>10</v>
      </c>
      <c r="K14" s="10" t="n">
        <f aca="false">I14-J14</f>
        <v>8</v>
      </c>
      <c r="L14" s="10" t="n">
        <f aca="false">COUNTIFS(Parts!B5:B532,B14,Parts!E5:E532,0)</f>
        <v>3</v>
      </c>
      <c r="M14" s="10" t="n">
        <f aca="false">COUNTIFS(Parts!B5:B532,B14,Parts!E5:E532,1)</f>
        <v>7</v>
      </c>
      <c r="N14" s="10" t="n">
        <f aca="false">COUNTIFS(Parts!B5:B532,B14,Parts!E5:E532,2)</f>
        <v>3</v>
      </c>
      <c r="O14" s="10" t="n">
        <f aca="false">COUNTIFS(Parts!B5:B532,B14,Parts!E5:E532,3)</f>
        <v>3</v>
      </c>
      <c r="P14" s="10" t="n">
        <f aca="false">COUNTIFS(Parts!B5:B532,B14,Parts!E5:E532,4)</f>
        <v>2</v>
      </c>
      <c r="Q14" s="10"/>
      <c r="R14" s="6" t="n">
        <v>0.14</v>
      </c>
    </row>
    <row r="15" customFormat="false" ht="21.75" hidden="false" customHeight="true" outlineLevel="0" collapsed="false">
      <c r="B15" s="4" t="s">
        <v>112</v>
      </c>
      <c r="C15" s="4" t="s">
        <v>100</v>
      </c>
      <c r="D15" s="4" t="s">
        <v>113</v>
      </c>
      <c r="E15" s="4" t="s">
        <v>114</v>
      </c>
      <c r="F15" s="4" t="s">
        <v>115</v>
      </c>
      <c r="G15" s="4" t="s">
        <v>116</v>
      </c>
      <c r="H15" s="9" t="s">
        <v>117</v>
      </c>
      <c r="I15" s="9" t="n">
        <f aca="false">COUNTIF(Parts!B5:B532,B15)</f>
        <v>22</v>
      </c>
      <c r="J15" s="9" t="n">
        <f aca="false">COUNTIFS(Parts!B5:B532,B15,Parts!K5:K532,"&lt;&gt;")</f>
        <v>16</v>
      </c>
      <c r="K15" s="9" t="n">
        <f aca="false">I15-J15</f>
        <v>6</v>
      </c>
      <c r="L15" s="9" t="n">
        <f aca="false">COUNTIFS(Parts!B5:B532,B15,Parts!E5:E532,0)</f>
        <v>4</v>
      </c>
      <c r="M15" s="9" t="n">
        <f aca="false">COUNTIFS(Parts!B5:B532,B15,Parts!E5:E532,1)</f>
        <v>8</v>
      </c>
      <c r="N15" s="9" t="n">
        <f aca="false">COUNTIFS(Parts!B5:B532,B15,Parts!E5:E532,2)</f>
        <v>6</v>
      </c>
      <c r="O15" s="9" t="n">
        <f aca="false">COUNTIFS(Parts!B5:B532,B15,Parts!E5:E532,3)</f>
        <v>2</v>
      </c>
      <c r="P15" s="9" t="n">
        <f aca="false">COUNTIFS(Parts!B5:B532,B15,Parts!E5:E532,4)</f>
        <v>2</v>
      </c>
      <c r="Q15" s="9"/>
      <c r="R15" s="4" t="n">
        <v>0.1329</v>
      </c>
    </row>
    <row r="16" customFormat="false" ht="21.75" hidden="false" customHeight="true" outlineLevel="0" collapsed="false">
      <c r="B16" s="6" t="s">
        <v>118</v>
      </c>
      <c r="C16" s="6" t="s">
        <v>119</v>
      </c>
      <c r="D16" s="6" t="s">
        <v>120</v>
      </c>
      <c r="E16" s="6" t="s">
        <v>121</v>
      </c>
      <c r="F16" s="6" t="s">
        <v>122</v>
      </c>
      <c r="G16" s="6" t="s">
        <v>123</v>
      </c>
      <c r="H16" s="10" t="s">
        <v>124</v>
      </c>
      <c r="I16" s="10" t="n">
        <f aca="false">COUNTIF(Parts!B5:B532,B16)</f>
        <v>20</v>
      </c>
      <c r="J16" s="10" t="n">
        <f aca="false">COUNTIFS(Parts!B5:B532,B16,Parts!K5:K532,"&lt;&gt;")</f>
        <v>19</v>
      </c>
      <c r="K16" s="10" t="n">
        <f aca="false">I16-J16</f>
        <v>1</v>
      </c>
      <c r="L16" s="10" t="n">
        <f aca="false">COUNTIFS(Parts!B5:B532,B16,Parts!E5:E532,0)</f>
        <v>3</v>
      </c>
      <c r="M16" s="10" t="n">
        <f aca="false">COUNTIFS(Parts!B5:B532,B16,Parts!E5:E532,1)</f>
        <v>4</v>
      </c>
      <c r="N16" s="10" t="n">
        <f aca="false">COUNTIFS(Parts!B5:B532,B16,Parts!E5:E532,2)</f>
        <v>5</v>
      </c>
      <c r="O16" s="10" t="n">
        <f aca="false">COUNTIFS(Parts!B5:B532,B16,Parts!E5:E532,3)</f>
        <v>4</v>
      </c>
      <c r="P16" s="10" t="n">
        <f aca="false">COUNTIFS(Parts!B5:B532,B16,Parts!E5:E532,4)</f>
        <v>4</v>
      </c>
      <c r="Q16" s="10"/>
      <c r="R16" s="6" t="n">
        <v>0.1025</v>
      </c>
    </row>
    <row r="17" customFormat="false" ht="21.75" hidden="false" customHeight="true" outlineLevel="0" collapsed="false">
      <c r="B17" s="4" t="s">
        <v>125</v>
      </c>
      <c r="C17" s="4" t="s">
        <v>119</v>
      </c>
      <c r="D17" s="4" t="s">
        <v>126</v>
      </c>
      <c r="E17" s="4" t="s">
        <v>127</v>
      </c>
      <c r="F17" s="4" t="s">
        <v>128</v>
      </c>
      <c r="G17" s="4" t="s">
        <v>129</v>
      </c>
      <c r="H17" s="9" t="s">
        <v>130</v>
      </c>
      <c r="I17" s="9" t="n">
        <f aca="false">COUNTIF(Parts!B5:B532,B17)</f>
        <v>25</v>
      </c>
      <c r="J17" s="9" t="n">
        <f aca="false">COUNTIFS(Parts!B5:B532,B17,Parts!K5:K532,"&lt;&gt;")</f>
        <v>25</v>
      </c>
      <c r="K17" s="9" t="n">
        <f aca="false">I17-J17</f>
        <v>0</v>
      </c>
      <c r="L17" s="9" t="n">
        <f aca="false">COUNTIFS(Parts!B5:B532,B17,Parts!E5:E532,0)</f>
        <v>4</v>
      </c>
      <c r="M17" s="9" t="n">
        <f aca="false">COUNTIFS(Parts!B5:B532,B17,Parts!E5:E532,1)</f>
        <v>7</v>
      </c>
      <c r="N17" s="9" t="n">
        <f aca="false">COUNTIFS(Parts!B5:B532,B17,Parts!E5:E532,2)</f>
        <v>8</v>
      </c>
      <c r="O17" s="9" t="n">
        <f aca="false">COUNTIFS(Parts!B5:B532,B17,Parts!E5:E532,3)</f>
        <v>3</v>
      </c>
      <c r="P17" s="9" t="n">
        <f aca="false">COUNTIFS(Parts!B5:B532,B17,Parts!E5:E532,4)</f>
        <v>3</v>
      </c>
      <c r="Q17" s="9"/>
      <c r="R17" s="4" t="n">
        <v>0.086</v>
      </c>
    </row>
    <row r="18" customFormat="false" ht="21.75" hidden="false" customHeight="true" outlineLevel="0" collapsed="false">
      <c r="B18" s="6" t="s">
        <v>131</v>
      </c>
      <c r="C18" s="6" t="s">
        <v>119</v>
      </c>
      <c r="D18" s="6" t="s">
        <v>132</v>
      </c>
      <c r="E18" s="6" t="s">
        <v>133</v>
      </c>
      <c r="F18" s="6" t="s">
        <v>134</v>
      </c>
      <c r="G18" s="6" t="s">
        <v>135</v>
      </c>
      <c r="H18" s="10" t="s">
        <v>136</v>
      </c>
      <c r="I18" s="10" t="n">
        <f aca="false">COUNTIF(Parts!B5:B532,B18)</f>
        <v>16</v>
      </c>
      <c r="J18" s="10" t="n">
        <f aca="false">COUNTIFS(Parts!B5:B532,B18,Parts!K5:K532,"&lt;&gt;")</f>
        <v>16</v>
      </c>
      <c r="K18" s="10" t="n">
        <f aca="false">I18-J18</f>
        <v>0</v>
      </c>
      <c r="L18" s="10" t="n">
        <f aca="false">COUNTIFS(Parts!B5:B532,B18,Parts!E5:E532,0)</f>
        <v>4</v>
      </c>
      <c r="M18" s="10" t="n">
        <f aca="false">COUNTIFS(Parts!B5:B532,B18,Parts!E5:E532,1)</f>
        <v>4</v>
      </c>
      <c r="N18" s="10" t="n">
        <f aca="false">COUNTIFS(Parts!B5:B532,B18,Parts!E5:E532,2)</f>
        <v>3</v>
      </c>
      <c r="O18" s="10" t="n">
        <f aca="false">COUNTIFS(Parts!B5:B532,B18,Parts!E5:E532,3)</f>
        <v>3</v>
      </c>
      <c r="P18" s="10" t="n">
        <f aca="false">COUNTIFS(Parts!B5:B532,B18,Parts!E5:E532,4)</f>
        <v>2</v>
      </c>
      <c r="Q18" s="10"/>
      <c r="R18" s="6" t="n">
        <v>0.0949</v>
      </c>
    </row>
    <row r="19" customFormat="false" ht="21.75" hidden="false" customHeight="true" outlineLevel="0" collapsed="false">
      <c r="B19" s="4" t="s">
        <v>137</v>
      </c>
      <c r="C19" s="4" t="s">
        <v>119</v>
      </c>
      <c r="D19" s="4" t="s">
        <v>138</v>
      </c>
      <c r="E19" s="4" t="s">
        <v>139</v>
      </c>
      <c r="F19" s="4" t="s">
        <v>140</v>
      </c>
      <c r="G19" s="4" t="s">
        <v>141</v>
      </c>
      <c r="H19" s="9" t="s">
        <v>142</v>
      </c>
      <c r="I19" s="9" t="n">
        <f aca="false">COUNTIF(Parts!B5:B532,B19)</f>
        <v>14</v>
      </c>
      <c r="J19" s="9" t="n">
        <f aca="false">COUNTIFS(Parts!B5:B532,B19,Parts!K5:K532,"&lt;&gt;")</f>
        <v>9</v>
      </c>
      <c r="K19" s="9" t="n">
        <f aca="false">I19-J19</f>
        <v>5</v>
      </c>
      <c r="L19" s="9" t="n">
        <f aca="false">COUNTIFS(Parts!B5:B532,B19,Parts!E5:E532,0)</f>
        <v>2</v>
      </c>
      <c r="M19" s="9" t="n">
        <f aca="false">COUNTIFS(Parts!B5:B532,B19,Parts!E5:E532,1)</f>
        <v>3</v>
      </c>
      <c r="N19" s="9" t="n">
        <f aca="false">COUNTIFS(Parts!B5:B532,B19,Parts!E5:E532,2)</f>
        <v>4</v>
      </c>
      <c r="O19" s="9" t="n">
        <f aca="false">COUNTIFS(Parts!B5:B532,B19,Parts!E5:E532,3)</f>
        <v>2</v>
      </c>
      <c r="P19" s="9" t="n">
        <f aca="false">COUNTIFS(Parts!B5:B532,B19,Parts!E5:E532,4)</f>
        <v>3</v>
      </c>
      <c r="Q19" s="9"/>
      <c r="R19" s="4" t="n">
        <v>0.1031</v>
      </c>
    </row>
    <row r="20" customFormat="false" ht="21.75" hidden="false" customHeight="true" outlineLevel="0" collapsed="false">
      <c r="B20" s="6" t="s">
        <v>143</v>
      </c>
      <c r="C20" s="6" t="s">
        <v>144</v>
      </c>
      <c r="D20" s="6" t="s">
        <v>145</v>
      </c>
      <c r="E20" s="6" t="s">
        <v>146</v>
      </c>
      <c r="F20" s="6" t="s">
        <v>147</v>
      </c>
      <c r="G20" s="6" t="s">
        <v>148</v>
      </c>
      <c r="H20" s="10" t="s">
        <v>149</v>
      </c>
      <c r="I20" s="10" t="n">
        <f aca="false">COUNTIF(Parts!B5:B532,B20)</f>
        <v>14</v>
      </c>
      <c r="J20" s="10" t="n">
        <f aca="false">COUNTIFS(Parts!B5:B532,B20,Parts!K5:K532,"&lt;&gt;")</f>
        <v>13</v>
      </c>
      <c r="K20" s="10" t="n">
        <f aca="false">I20-J20</f>
        <v>1</v>
      </c>
      <c r="L20" s="10" t="n">
        <f aca="false">COUNTIFS(Parts!B5:B532,B20,Parts!E5:E532,0)</f>
        <v>2</v>
      </c>
      <c r="M20" s="10" t="n">
        <f aca="false">COUNTIFS(Parts!B5:B532,B20,Parts!E5:E532,1)</f>
        <v>4</v>
      </c>
      <c r="N20" s="10" t="n">
        <f aca="false">COUNTIFS(Parts!B5:B532,B20,Parts!E5:E532,2)</f>
        <v>4</v>
      </c>
      <c r="O20" s="10" t="n">
        <f aca="false">COUNTIFS(Parts!B5:B532,B20,Parts!E5:E532,3)</f>
        <v>2</v>
      </c>
      <c r="P20" s="10" t="n">
        <f aca="false">COUNTIFS(Parts!B5:B532,B20,Parts!E5:E532,4)</f>
        <v>2</v>
      </c>
      <c r="Q20" s="10"/>
      <c r="R20" s="6" t="n">
        <v>0.717</v>
      </c>
    </row>
    <row r="21" customFormat="false" ht="21.75" hidden="false" customHeight="true" outlineLevel="0" collapsed="false">
      <c r="B21" s="4" t="s">
        <v>150</v>
      </c>
      <c r="C21" s="4" t="s">
        <v>144</v>
      </c>
      <c r="D21" s="4" t="s">
        <v>151</v>
      </c>
      <c r="E21" s="4" t="s">
        <v>152</v>
      </c>
      <c r="F21" s="4" t="s">
        <v>153</v>
      </c>
      <c r="G21" s="4" t="s">
        <v>154</v>
      </c>
      <c r="H21" s="9" t="s">
        <v>155</v>
      </c>
      <c r="I21" s="9" t="n">
        <f aca="false">COUNTIF(Parts!B5:B532,B21)</f>
        <v>15</v>
      </c>
      <c r="J21" s="9" t="n">
        <f aca="false">COUNTIFS(Parts!B5:B532,B21,Parts!K5:K532,"&lt;&gt;")</f>
        <v>15</v>
      </c>
      <c r="K21" s="9" t="n">
        <f aca="false">I21-J21</f>
        <v>0</v>
      </c>
      <c r="L21" s="9" t="n">
        <f aca="false">COUNTIFS(Parts!B5:B532,B21,Parts!E5:E532,0)</f>
        <v>3</v>
      </c>
      <c r="M21" s="9" t="n">
        <f aca="false">COUNTIFS(Parts!B5:B532,B21,Parts!E5:E532,1)</f>
        <v>5</v>
      </c>
      <c r="N21" s="9" t="n">
        <f aca="false">COUNTIFS(Parts!B5:B532,B21,Parts!E5:E532,2)</f>
        <v>3</v>
      </c>
      <c r="O21" s="9" t="n">
        <f aca="false">COUNTIFS(Parts!B5:B532,B21,Parts!E5:E532,3)</f>
        <v>2</v>
      </c>
      <c r="P21" s="9" t="n">
        <f aca="false">COUNTIFS(Parts!B5:B532,B21,Parts!E5:E532,4)</f>
        <v>2</v>
      </c>
      <c r="Q21" s="9"/>
      <c r="R21" s="4" t="n">
        <v>0.7387</v>
      </c>
    </row>
    <row r="22" customFormat="false" ht="21.75" hidden="false" customHeight="true" outlineLevel="0" collapsed="false">
      <c r="B22" s="6" t="s">
        <v>156</v>
      </c>
      <c r="C22" s="6" t="s">
        <v>144</v>
      </c>
      <c r="D22" s="6" t="s">
        <v>157</v>
      </c>
      <c r="E22" s="6" t="s">
        <v>158</v>
      </c>
      <c r="F22" s="6" t="s">
        <v>159</v>
      </c>
      <c r="G22" s="6" t="s">
        <v>160</v>
      </c>
      <c r="H22" s="10" t="s">
        <v>161</v>
      </c>
      <c r="I22" s="10" t="n">
        <f aca="false">COUNTIF(Parts!B5:B532,B22)</f>
        <v>14</v>
      </c>
      <c r="J22" s="10" t="n">
        <f aca="false">COUNTIFS(Parts!B5:B532,B22,Parts!K5:K532,"&lt;&gt;")</f>
        <v>12</v>
      </c>
      <c r="K22" s="10" t="n">
        <f aca="false">I22-J22</f>
        <v>2</v>
      </c>
      <c r="L22" s="10" t="n">
        <f aca="false">COUNTIFS(Parts!B5:B532,B22,Parts!E5:E532,0)</f>
        <v>2</v>
      </c>
      <c r="M22" s="10" t="n">
        <f aca="false">COUNTIFS(Parts!B5:B532,B22,Parts!E5:E532,1)</f>
        <v>8</v>
      </c>
      <c r="N22" s="10" t="n">
        <f aca="false">COUNTIFS(Parts!B5:B532,B22,Parts!E5:E532,2)</f>
        <v>0</v>
      </c>
      <c r="O22" s="10" t="n">
        <f aca="false">COUNTIFS(Parts!B5:B532,B22,Parts!E5:E532,3)</f>
        <v>1</v>
      </c>
      <c r="P22" s="10" t="n">
        <f aca="false">COUNTIFS(Parts!B5:B532,B22,Parts!E5:E532,4)</f>
        <v>3</v>
      </c>
      <c r="Q22" s="10"/>
      <c r="R22" s="6" t="n">
        <v>0.661</v>
      </c>
    </row>
    <row r="23" customFormat="false" ht="21.75" hidden="false" customHeight="true" outlineLevel="0" collapsed="false">
      <c r="B23" s="4" t="s">
        <v>162</v>
      </c>
      <c r="C23" s="4" t="s">
        <v>144</v>
      </c>
      <c r="D23" s="4" t="s">
        <v>163</v>
      </c>
      <c r="E23" s="4" t="s">
        <v>164</v>
      </c>
      <c r="F23" s="4" t="s">
        <v>165</v>
      </c>
      <c r="G23" s="4" t="s">
        <v>166</v>
      </c>
      <c r="H23" s="9" t="s">
        <v>167</v>
      </c>
      <c r="I23" s="9" t="n">
        <f aca="false">COUNTIF(Parts!B5:B532,B23)</f>
        <v>12</v>
      </c>
      <c r="J23" s="9" t="n">
        <f aca="false">COUNTIFS(Parts!B5:B532,B23,Parts!K5:K532,"&lt;&gt;")</f>
        <v>9</v>
      </c>
      <c r="K23" s="9" t="n">
        <f aca="false">I23-J23</f>
        <v>3</v>
      </c>
      <c r="L23" s="9" t="n">
        <f aca="false">COUNTIFS(Parts!B5:B532,B23,Parts!E5:E532,0)</f>
        <v>1</v>
      </c>
      <c r="M23" s="9" t="n">
        <f aca="false">COUNTIFS(Parts!B5:B532,B23,Parts!E5:E532,1)</f>
        <v>4</v>
      </c>
      <c r="N23" s="9" t="n">
        <f aca="false">COUNTIFS(Parts!B5:B532,B23,Parts!E5:E532,2)</f>
        <v>3</v>
      </c>
      <c r="O23" s="9" t="n">
        <f aca="false">COUNTIFS(Parts!B5:B532,B23,Parts!E5:E532,3)</f>
        <v>2</v>
      </c>
      <c r="P23" s="9" t="n">
        <f aca="false">COUNTIFS(Parts!B5:B532,B23,Parts!E5:E532,4)</f>
        <v>2</v>
      </c>
      <c r="Q23" s="9"/>
      <c r="R23" s="4" t="n">
        <v>0.8006</v>
      </c>
    </row>
    <row r="24" customFormat="false" ht="21.75" hidden="false" customHeight="true" outlineLevel="0" collapsed="false">
      <c r="B24" s="6" t="s">
        <v>168</v>
      </c>
      <c r="C24" s="6" t="s">
        <v>144</v>
      </c>
      <c r="D24" s="6" t="s">
        <v>169</v>
      </c>
      <c r="E24" s="6" t="s">
        <v>170</v>
      </c>
      <c r="F24" s="6" t="s">
        <v>171</v>
      </c>
      <c r="G24" s="6" t="s">
        <v>172</v>
      </c>
      <c r="H24" s="10" t="s">
        <v>173</v>
      </c>
      <c r="I24" s="10" t="n">
        <f aca="false">COUNTIF(Parts!B5:B532,B24)</f>
        <v>13</v>
      </c>
      <c r="J24" s="10" t="n">
        <f aca="false">COUNTIFS(Parts!B5:B532,B24,Parts!K5:K532,"&lt;&gt;")</f>
        <v>10</v>
      </c>
      <c r="K24" s="10" t="n">
        <f aca="false">I24-J24</f>
        <v>3</v>
      </c>
      <c r="L24" s="10" t="n">
        <f aca="false">COUNTIFS(Parts!B5:B532,B24,Parts!E5:E532,0)</f>
        <v>2</v>
      </c>
      <c r="M24" s="10" t="n">
        <f aca="false">COUNTIFS(Parts!B5:B532,B24,Parts!E5:E532,1)</f>
        <v>5</v>
      </c>
      <c r="N24" s="10" t="n">
        <f aca="false">COUNTIFS(Parts!B5:B532,B24,Parts!E5:E532,2)</f>
        <v>2</v>
      </c>
      <c r="O24" s="10" t="n">
        <f aca="false">COUNTIFS(Parts!B5:B532,B24,Parts!E5:E532,3)</f>
        <v>2</v>
      </c>
      <c r="P24" s="10" t="n">
        <f aca="false">COUNTIFS(Parts!B5:B532,B24,Parts!E5:E532,4)</f>
        <v>2</v>
      </c>
      <c r="Q24" s="10"/>
      <c r="R24" s="6" t="n">
        <v>0.766</v>
      </c>
    </row>
    <row r="25" customFormat="false" ht="21.75" hidden="false" customHeight="true" outlineLevel="0" collapsed="false">
      <c r="B25" s="4" t="s">
        <v>174</v>
      </c>
      <c r="C25" s="4" t="s">
        <v>144</v>
      </c>
      <c r="D25" s="4" t="s">
        <v>175</v>
      </c>
      <c r="E25" s="4" t="s">
        <v>146</v>
      </c>
      <c r="F25" s="4" t="s">
        <v>176</v>
      </c>
      <c r="G25" s="4" t="s">
        <v>177</v>
      </c>
      <c r="H25" s="9" t="s">
        <v>178</v>
      </c>
      <c r="I25" s="9" t="n">
        <f aca="false">COUNTIF(Parts!B5:B532,B25)</f>
        <v>10</v>
      </c>
      <c r="J25" s="9" t="n">
        <f aca="false">COUNTIFS(Parts!B5:B532,B25,Parts!K5:K532,"&lt;&gt;")</f>
        <v>6</v>
      </c>
      <c r="K25" s="9" t="n">
        <f aca="false">I25-J25</f>
        <v>4</v>
      </c>
      <c r="L25" s="9" t="n">
        <f aca="false">COUNTIFS(Parts!B5:B532,B25,Parts!E5:E532,0)</f>
        <v>2</v>
      </c>
      <c r="M25" s="9" t="n">
        <f aca="false">COUNTIFS(Parts!B5:B532,B25,Parts!E5:E532,1)</f>
        <v>3</v>
      </c>
      <c r="N25" s="9" t="n">
        <f aca="false">COUNTIFS(Parts!B5:B532,B25,Parts!E5:E532,2)</f>
        <v>2</v>
      </c>
      <c r="O25" s="9" t="n">
        <f aca="false">COUNTIFS(Parts!B5:B532,B25,Parts!E5:E532,3)</f>
        <v>2</v>
      </c>
      <c r="P25" s="9" t="n">
        <f aca="false">COUNTIFS(Parts!B5:B532,B25,Parts!E5:E532,4)</f>
        <v>1</v>
      </c>
      <c r="Q25" s="9"/>
      <c r="R25" s="4" t="n">
        <v>0.7344</v>
      </c>
    </row>
    <row r="26" customFormat="false" ht="21.75" hidden="false" customHeight="true" outlineLevel="0" collapsed="false">
      <c r="B26" s="6" t="s">
        <v>179</v>
      </c>
      <c r="C26" s="6" t="s">
        <v>180</v>
      </c>
      <c r="D26" s="6" t="s">
        <v>181</v>
      </c>
      <c r="E26" s="6" t="s">
        <v>146</v>
      </c>
      <c r="F26" s="6" t="s">
        <v>182</v>
      </c>
      <c r="G26" s="6" t="s">
        <v>183</v>
      </c>
      <c r="H26" s="10" t="s">
        <v>184</v>
      </c>
      <c r="I26" s="10" t="n">
        <f aca="false">COUNTIF(Parts!B5:B532,B26)</f>
        <v>19</v>
      </c>
      <c r="J26" s="10" t="n">
        <f aca="false">COUNTIFS(Parts!B5:B532,B26,Parts!K5:K532,"&lt;&gt;")</f>
        <v>10</v>
      </c>
      <c r="K26" s="10" t="n">
        <f aca="false">I26-J26</f>
        <v>9</v>
      </c>
      <c r="L26" s="10" t="n">
        <f aca="false">COUNTIFS(Parts!B5:B532,B26,Parts!E5:E532,0)</f>
        <v>2</v>
      </c>
      <c r="M26" s="10" t="n">
        <f aca="false">COUNTIFS(Parts!B5:B532,B26,Parts!E5:E532,1)</f>
        <v>5</v>
      </c>
      <c r="N26" s="10" t="n">
        <f aca="false">COUNTIFS(Parts!B5:B532,B26,Parts!E5:E532,2)</f>
        <v>5</v>
      </c>
      <c r="O26" s="10" t="n">
        <f aca="false">COUNTIFS(Parts!B5:B532,B26,Parts!E5:E532,3)</f>
        <v>3</v>
      </c>
      <c r="P26" s="10" t="n">
        <f aca="false">COUNTIFS(Parts!B5:B532,B26,Parts!E5:E532,4)</f>
        <v>4</v>
      </c>
      <c r="Q26" s="10"/>
      <c r="R26" s="6" t="n">
        <v>0.067</v>
      </c>
    </row>
    <row r="27" customFormat="false" ht="21.75" hidden="false" customHeight="true" outlineLevel="0" collapsed="false">
      <c r="B27" s="4" t="s">
        <v>185</v>
      </c>
      <c r="C27" s="4" t="s">
        <v>180</v>
      </c>
      <c r="D27" s="4" t="s">
        <v>186</v>
      </c>
      <c r="E27" s="4" t="s">
        <v>187</v>
      </c>
      <c r="F27" s="4" t="s">
        <v>182</v>
      </c>
      <c r="G27" s="4" t="s">
        <v>188</v>
      </c>
      <c r="H27" s="9" t="s">
        <v>189</v>
      </c>
      <c r="I27" s="9" t="n">
        <f aca="false">COUNTIF(Parts!B5:B532,B27)</f>
        <v>24</v>
      </c>
      <c r="J27" s="9" t="n">
        <f aca="false">COUNTIFS(Parts!B5:B532,B27,Parts!K5:K532,"&lt;&gt;")</f>
        <v>9</v>
      </c>
      <c r="K27" s="9" t="n">
        <f aca="false">I27-J27</f>
        <v>15</v>
      </c>
      <c r="L27" s="9" t="n">
        <f aca="false">COUNTIFS(Parts!B5:B532,B27,Parts!E5:E532,0)</f>
        <v>2</v>
      </c>
      <c r="M27" s="9" t="n">
        <f aca="false">COUNTIFS(Parts!B5:B532,B27,Parts!E5:E532,1)</f>
        <v>11</v>
      </c>
      <c r="N27" s="9" t="n">
        <f aca="false">COUNTIFS(Parts!B5:B532,B27,Parts!E5:E532,2)</f>
        <v>7</v>
      </c>
      <c r="O27" s="9" t="n">
        <f aca="false">COUNTIFS(Parts!B5:B532,B27,Parts!E5:E532,3)</f>
        <v>0</v>
      </c>
      <c r="P27" s="9" t="n">
        <f aca="false">COUNTIFS(Parts!B5:B532,B27,Parts!E5:E532,4)</f>
        <v>4</v>
      </c>
      <c r="Q27" s="9"/>
      <c r="R27" s="4" t="n">
        <v>0.1609</v>
      </c>
    </row>
    <row r="28" customFormat="false" ht="21.75" hidden="false" customHeight="true" outlineLevel="0" collapsed="false">
      <c r="B28" s="6" t="s">
        <v>190</v>
      </c>
      <c r="C28" s="6" t="s">
        <v>180</v>
      </c>
      <c r="D28" s="6" t="s">
        <v>191</v>
      </c>
      <c r="E28" s="6" t="s">
        <v>192</v>
      </c>
      <c r="F28" s="6" t="s">
        <v>182</v>
      </c>
      <c r="G28" s="6" t="s">
        <v>193</v>
      </c>
      <c r="H28" s="10" t="s">
        <v>194</v>
      </c>
      <c r="I28" s="10" t="n">
        <f aca="false">COUNTIF(Parts!B5:B532,B28)</f>
        <v>16</v>
      </c>
      <c r="J28" s="10" t="n">
        <f aca="false">COUNTIFS(Parts!B5:B532,B28,Parts!K5:K532,"&lt;&gt;")</f>
        <v>9</v>
      </c>
      <c r="K28" s="10" t="n">
        <f aca="false">I28-J28</f>
        <v>7</v>
      </c>
      <c r="L28" s="10" t="n">
        <f aca="false">COUNTIFS(Parts!B5:B532,B28,Parts!E5:E532,0)</f>
        <v>2</v>
      </c>
      <c r="M28" s="10" t="n">
        <f aca="false">COUNTIFS(Parts!B5:B532,B28,Parts!E5:E532,1)</f>
        <v>5</v>
      </c>
      <c r="N28" s="10" t="n">
        <f aca="false">COUNTIFS(Parts!B5:B532,B28,Parts!E5:E532,2)</f>
        <v>5</v>
      </c>
      <c r="O28" s="10" t="n">
        <f aca="false">COUNTIFS(Parts!B5:B532,B28,Parts!E5:E532,3)</f>
        <v>2</v>
      </c>
      <c r="P28" s="10" t="n">
        <f aca="false">COUNTIFS(Parts!B5:B532,B28,Parts!E5:E532,4)</f>
        <v>2</v>
      </c>
      <c r="Q28" s="10"/>
      <c r="R28" s="6" t="n">
        <v>0.5179</v>
      </c>
    </row>
    <row r="29" customFormat="false" ht="21.75" hidden="false" customHeight="true" outlineLevel="0" collapsed="false">
      <c r="B29" s="4" t="s">
        <v>195</v>
      </c>
      <c r="C29" s="4" t="s">
        <v>180</v>
      </c>
      <c r="D29" s="4" t="s">
        <v>196</v>
      </c>
      <c r="E29" s="4" t="s">
        <v>146</v>
      </c>
      <c r="F29" s="4" t="s">
        <v>182</v>
      </c>
      <c r="G29" s="4" t="s">
        <v>197</v>
      </c>
      <c r="H29" s="9" t="s">
        <v>198</v>
      </c>
      <c r="I29" s="9" t="n">
        <f aca="false">COUNTIF(Parts!B5:B532,B29)</f>
        <v>16</v>
      </c>
      <c r="J29" s="9" t="n">
        <f aca="false">COUNTIFS(Parts!B5:B532,B29,Parts!K5:K532,"&lt;&gt;")</f>
        <v>5</v>
      </c>
      <c r="K29" s="9" t="n">
        <f aca="false">I29-J29</f>
        <v>11</v>
      </c>
      <c r="L29" s="9" t="n">
        <f aca="false">COUNTIFS(Parts!B5:B532,B29,Parts!E5:E532,0)</f>
        <v>3</v>
      </c>
      <c r="M29" s="9" t="n">
        <f aca="false">COUNTIFS(Parts!B5:B532,B29,Parts!E5:E532,1)</f>
        <v>5</v>
      </c>
      <c r="N29" s="9" t="n">
        <f aca="false">COUNTIFS(Parts!B5:B532,B29,Parts!E5:E532,2)</f>
        <v>6</v>
      </c>
      <c r="O29" s="9" t="n">
        <f aca="false">COUNTIFS(Parts!B5:B532,B29,Parts!E5:E532,3)</f>
        <v>1</v>
      </c>
      <c r="P29" s="9" t="n">
        <f aca="false">COUNTIFS(Parts!B5:B532,B29,Parts!E5:E532,4)</f>
        <v>1</v>
      </c>
      <c r="Q29" s="9"/>
      <c r="R29" s="4" t="n">
        <v>0.4297</v>
      </c>
    </row>
    <row r="30" customFormat="false" ht="21.75" hidden="false" customHeight="true" outlineLevel="0" collapsed="false">
      <c r="B30" s="6" t="s">
        <v>199</v>
      </c>
      <c r="C30" s="6" t="s">
        <v>180</v>
      </c>
      <c r="D30" s="6" t="s">
        <v>200</v>
      </c>
      <c r="E30" s="6" t="s">
        <v>201</v>
      </c>
      <c r="F30" s="6" t="s">
        <v>182</v>
      </c>
      <c r="G30" s="6" t="s">
        <v>202</v>
      </c>
      <c r="H30" s="10" t="s">
        <v>203</v>
      </c>
      <c r="I30" s="10" t="n">
        <f aca="false">COUNTIF(Parts!B5:B532,B30)</f>
        <v>12</v>
      </c>
      <c r="J30" s="10" t="n">
        <f aca="false">COUNTIFS(Parts!B5:B532,B30,Parts!K5:K532,"&lt;&gt;")</f>
        <v>6</v>
      </c>
      <c r="K30" s="10" t="n">
        <f aca="false">I30-J30</f>
        <v>6</v>
      </c>
      <c r="L30" s="10" t="n">
        <f aca="false">COUNTIFS(Parts!B5:B532,B30,Parts!E5:E532,0)</f>
        <v>2</v>
      </c>
      <c r="M30" s="10" t="n">
        <f aca="false">COUNTIFS(Parts!B5:B532,B30,Parts!E5:E532,1)</f>
        <v>2</v>
      </c>
      <c r="N30" s="10" t="n">
        <f aca="false">COUNTIFS(Parts!B5:B532,B30,Parts!E5:E532,2)</f>
        <v>3</v>
      </c>
      <c r="O30" s="10" t="n">
        <f aca="false">COUNTIFS(Parts!B5:B532,B30,Parts!E5:E532,3)</f>
        <v>1</v>
      </c>
      <c r="P30" s="10" t="n">
        <f aca="false">COUNTIFS(Parts!B5:B532,B30,Parts!E5:E532,4)</f>
        <v>4</v>
      </c>
      <c r="Q30" s="10"/>
      <c r="R30" s="6" t="n">
        <v>0.315</v>
      </c>
    </row>
    <row r="31" customFormat="false" ht="21.75" hidden="false" customHeight="true" outlineLevel="0" collapsed="false">
      <c r="B31" s="4" t="s">
        <v>204</v>
      </c>
      <c r="C31" s="4" t="s">
        <v>180</v>
      </c>
      <c r="D31" s="4" t="s">
        <v>205</v>
      </c>
      <c r="E31" s="4" t="s">
        <v>206</v>
      </c>
      <c r="F31" s="4" t="s">
        <v>182</v>
      </c>
      <c r="G31" s="4" t="s">
        <v>207</v>
      </c>
      <c r="H31" s="9" t="s">
        <v>208</v>
      </c>
      <c r="I31" s="9" t="n">
        <f aca="false">COUNTIF(Parts!B5:B532,B31)</f>
        <v>14</v>
      </c>
      <c r="J31" s="9" t="n">
        <f aca="false">COUNTIFS(Parts!B5:B532,B31,Parts!K5:K532,"&lt;&gt;")</f>
        <v>3</v>
      </c>
      <c r="K31" s="9" t="n">
        <f aca="false">I31-J31</f>
        <v>11</v>
      </c>
      <c r="L31" s="9" t="n">
        <f aca="false">COUNTIFS(Parts!B5:B532,B31,Parts!E5:E532,0)</f>
        <v>2</v>
      </c>
      <c r="M31" s="9" t="n">
        <f aca="false">COUNTIFS(Parts!B5:B532,B31,Parts!E5:E532,1)</f>
        <v>4</v>
      </c>
      <c r="N31" s="9" t="n">
        <f aca="false">COUNTIFS(Parts!B5:B532,B31,Parts!E5:E532,2)</f>
        <v>3</v>
      </c>
      <c r="O31" s="9" t="n">
        <f aca="false">COUNTIFS(Parts!B5:B532,B31,Parts!E5:E532,3)</f>
        <v>4</v>
      </c>
      <c r="P31" s="9" t="n">
        <f aca="false">COUNTIFS(Parts!B5:B532,B31,Parts!E5:E532,4)</f>
        <v>1</v>
      </c>
      <c r="Q31" s="9"/>
      <c r="R31" s="4" t="n">
        <v>0.2474</v>
      </c>
    </row>
    <row r="32" customFormat="false" ht="21.75" hidden="false" customHeight="true" outlineLevel="0" collapsed="false">
      <c r="B32" s="6" t="s">
        <v>209</v>
      </c>
      <c r="C32" s="6" t="s">
        <v>180</v>
      </c>
      <c r="D32" s="6" t="s">
        <v>210</v>
      </c>
      <c r="E32" s="6" t="s">
        <v>146</v>
      </c>
      <c r="F32" s="6" t="s">
        <v>182</v>
      </c>
      <c r="G32" s="6" t="s">
        <v>211</v>
      </c>
      <c r="H32" s="10" t="s">
        <v>212</v>
      </c>
      <c r="I32" s="10" t="n">
        <f aca="false">COUNTIF(Parts!B5:B532,B32)</f>
        <v>16</v>
      </c>
      <c r="J32" s="10" t="n">
        <f aca="false">COUNTIFS(Parts!B5:B532,B32,Parts!K5:K532,"&lt;&gt;")</f>
        <v>8</v>
      </c>
      <c r="K32" s="10" t="n">
        <f aca="false">I32-J32</f>
        <v>8</v>
      </c>
      <c r="L32" s="10" t="n">
        <f aca="false">COUNTIFS(Parts!B5:B532,B32,Parts!E5:E532,0)</f>
        <v>2</v>
      </c>
      <c r="M32" s="10" t="n">
        <f aca="false">COUNTIFS(Parts!B5:B532,B32,Parts!E5:E532,1)</f>
        <v>4</v>
      </c>
      <c r="N32" s="10" t="n">
        <f aca="false">COUNTIFS(Parts!B5:B532,B32,Parts!E5:E532,2)</f>
        <v>5</v>
      </c>
      <c r="O32" s="10" t="n">
        <f aca="false">COUNTIFS(Parts!B5:B532,B32,Parts!E5:E532,3)</f>
        <v>3</v>
      </c>
      <c r="P32" s="10" t="n">
        <f aca="false">COUNTIFS(Parts!B5:B532,B32,Parts!E5:E532,4)</f>
        <v>2</v>
      </c>
      <c r="Q32" s="10"/>
      <c r="R32" s="6" t="n">
        <v>0.0698</v>
      </c>
    </row>
    <row r="33" customFormat="false" ht="21.75" hidden="false" customHeight="true" outlineLevel="0" collapsed="false">
      <c r="B33" s="4" t="s">
        <v>213</v>
      </c>
      <c r="C33" s="4" t="s">
        <v>180</v>
      </c>
      <c r="D33" s="4" t="s">
        <v>214</v>
      </c>
      <c r="E33" s="4" t="s">
        <v>77</v>
      </c>
      <c r="F33" s="4" t="s">
        <v>182</v>
      </c>
      <c r="G33" s="4" t="s">
        <v>215</v>
      </c>
      <c r="H33" s="9" t="s">
        <v>216</v>
      </c>
      <c r="I33" s="9" t="n">
        <f aca="false">COUNTIF(Parts!B5:B532,B33)</f>
        <v>17</v>
      </c>
      <c r="J33" s="9" t="n">
        <f aca="false">COUNTIFS(Parts!B5:B532,B33,Parts!K5:K532,"&lt;&gt;")</f>
        <v>5</v>
      </c>
      <c r="K33" s="9" t="n">
        <f aca="false">I33-J33</f>
        <v>12</v>
      </c>
      <c r="L33" s="9" t="n">
        <f aca="false">COUNTIFS(Parts!B5:B532,B33,Parts!E5:E532,0)</f>
        <v>1</v>
      </c>
      <c r="M33" s="9" t="n">
        <f aca="false">COUNTIFS(Parts!B5:B532,B33,Parts!E5:E532,1)</f>
        <v>4</v>
      </c>
      <c r="N33" s="9" t="n">
        <f aca="false">COUNTIFS(Parts!B5:B532,B33,Parts!E5:E532,2)</f>
        <v>9</v>
      </c>
      <c r="O33" s="9" t="n">
        <f aca="false">COUNTIFS(Parts!B5:B532,B33,Parts!E5:E532,3)</f>
        <v>1</v>
      </c>
      <c r="P33" s="9" t="n">
        <f aca="false">COUNTIFS(Parts!B5:B532,B33,Parts!E5:E532,4)</f>
        <v>2</v>
      </c>
      <c r="Q33" s="9"/>
      <c r="R33" s="4" t="n">
        <v>0.3726</v>
      </c>
    </row>
  </sheetData>
  <mergeCells count="1">
    <mergeCell ref="B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5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19"/>
    <col collapsed="false" customWidth="true" hidden="false" outlineLevel="0" max="3" min="3" style="1" width="10"/>
    <col collapsed="false" customWidth="true" hidden="false" outlineLevel="0" max="4" min="4" style="1" width="16"/>
    <col collapsed="false" customWidth="true" hidden="false" outlineLevel="0" max="5" min="5" style="1" width="7"/>
    <col collapsed="false" customWidth="true" hidden="false" outlineLevel="0" max="6" min="6" style="1" width="11"/>
    <col collapsed="false" customWidth="true" hidden="false" outlineLevel="0" max="7" min="7" style="1" width="26"/>
    <col collapsed="false" customWidth="true" hidden="false" outlineLevel="0" max="8" min="8" style="1" width="48"/>
    <col collapsed="false" customWidth="true" hidden="false" outlineLevel="0" max="10" min="9" style="1" width="22"/>
    <col collapsed="false" customWidth="true" hidden="false" outlineLevel="0" max="11" min="11" style="1" width="46"/>
    <col collapsed="false" customWidth="true" hidden="false" outlineLevel="0" max="12" min="12" style="1" width="13"/>
    <col collapsed="false" customWidth="true" hidden="false" outlineLevel="0" max="13" min="13" style="1" width="34"/>
    <col collapsed="false" customWidth="true" hidden="false" outlineLevel="0" max="14" min="14" style="1" width="10"/>
    <col collapsed="false" customWidth="true" hidden="false" outlineLevel="0" max="15" min="15" style="1" width="30"/>
  </cols>
  <sheetData>
    <row r="2" customFormat="false" ht="31.5" hidden="false" customHeight="true" outlineLevel="0" collapsed="false">
      <c r="B2" s="2" t="s">
        <v>217</v>
      </c>
      <c r="C2" s="2"/>
      <c r="D2" s="2"/>
      <c r="E2" s="2"/>
      <c r="F2" s="2"/>
      <c r="G2" s="2"/>
      <c r="H2" s="2"/>
      <c r="I2" s="2"/>
      <c r="J2" s="2"/>
      <c r="K2" s="2"/>
      <c r="L2" s="2"/>
      <c r="M2" s="2"/>
      <c r="N2" s="2"/>
      <c r="O2" s="2"/>
    </row>
    <row r="3" customFormat="false" ht="7.5" hidden="false" customHeight="true" outlineLevel="0" collapsed="false"/>
    <row r="4" customFormat="false" ht="27.75" hidden="false" customHeight="true" outlineLevel="0" collapsed="false">
      <c r="B4" s="3" t="s">
        <v>33</v>
      </c>
      <c r="C4" s="3" t="s">
        <v>34</v>
      </c>
      <c r="D4" s="3" t="s">
        <v>218</v>
      </c>
      <c r="E4" s="3" t="s">
        <v>219</v>
      </c>
      <c r="F4" s="3" t="s">
        <v>220</v>
      </c>
      <c r="G4" s="3" t="s">
        <v>221</v>
      </c>
      <c r="H4" s="3" t="s">
        <v>39</v>
      </c>
      <c r="I4" s="3" t="s">
        <v>222</v>
      </c>
      <c r="J4" s="3" t="s">
        <v>223</v>
      </c>
      <c r="K4" s="3" t="s">
        <v>224</v>
      </c>
      <c r="L4" s="3" t="s">
        <v>225</v>
      </c>
      <c r="M4" s="3" t="s">
        <v>226</v>
      </c>
      <c r="N4" s="3" t="s">
        <v>227</v>
      </c>
      <c r="O4" s="3" t="s">
        <v>30</v>
      </c>
    </row>
    <row r="5" customFormat="false" ht="21.75" hidden="false" customHeight="true" outlineLevel="0" collapsed="false">
      <c r="B5" s="4" t="s">
        <v>50</v>
      </c>
      <c r="C5" s="4" t="s">
        <v>22</v>
      </c>
      <c r="D5" s="4" t="s">
        <v>228</v>
      </c>
      <c r="E5" s="9" t="n">
        <v>0</v>
      </c>
      <c r="F5" s="4" t="s">
        <v>22</v>
      </c>
      <c r="G5" s="5" t="s">
        <v>229</v>
      </c>
      <c r="H5" s="5" t="s">
        <v>230</v>
      </c>
      <c r="I5" s="5" t="s">
        <v>231</v>
      </c>
      <c r="J5" s="5" t="s">
        <v>232</v>
      </c>
      <c r="K5" s="5" t="s">
        <v>233</v>
      </c>
      <c r="L5" s="5" t="s">
        <v>234</v>
      </c>
      <c r="M5" s="5" t="s">
        <v>235</v>
      </c>
      <c r="N5" s="5" t="s">
        <v>236</v>
      </c>
      <c r="O5" s="4" t="s">
        <v>237</v>
      </c>
    </row>
    <row r="6" customFormat="false" ht="21.75" hidden="false" customHeight="true" outlineLevel="0" collapsed="false">
      <c r="B6" s="6" t="s">
        <v>50</v>
      </c>
      <c r="C6" s="6" t="s">
        <v>22</v>
      </c>
      <c r="D6" s="6" t="s">
        <v>238</v>
      </c>
      <c r="E6" s="10" t="n">
        <v>0</v>
      </c>
      <c r="F6" s="6" t="s">
        <v>22</v>
      </c>
      <c r="G6" s="7" t="s">
        <v>239</v>
      </c>
      <c r="H6" s="7" t="s">
        <v>240</v>
      </c>
      <c r="I6" s="7" t="s">
        <v>241</v>
      </c>
      <c r="J6" s="7" t="s">
        <v>242</v>
      </c>
      <c r="K6" s="7" t="s">
        <v>243</v>
      </c>
      <c r="L6" s="7" t="s">
        <v>244</v>
      </c>
      <c r="M6" s="7"/>
      <c r="N6" s="7" t="s">
        <v>236</v>
      </c>
      <c r="O6" s="6" t="s">
        <v>245</v>
      </c>
    </row>
    <row r="7" customFormat="false" ht="21.75" hidden="false" customHeight="true" outlineLevel="0" collapsed="false">
      <c r="B7" s="4" t="s">
        <v>50</v>
      </c>
      <c r="C7" s="4" t="s">
        <v>22</v>
      </c>
      <c r="D7" s="4" t="s">
        <v>246</v>
      </c>
      <c r="E7" s="9" t="n">
        <v>0</v>
      </c>
      <c r="F7" s="4" t="s">
        <v>22</v>
      </c>
      <c r="G7" s="5" t="s">
        <v>247</v>
      </c>
      <c r="H7" s="5" t="s">
        <v>248</v>
      </c>
      <c r="I7" s="5" t="s">
        <v>249</v>
      </c>
      <c r="J7" s="5" t="s">
        <v>250</v>
      </c>
      <c r="K7" s="5" t="s">
        <v>251</v>
      </c>
      <c r="L7" s="5" t="s">
        <v>234</v>
      </c>
      <c r="M7" s="5" t="s">
        <v>252</v>
      </c>
      <c r="N7" s="5" t="s">
        <v>236</v>
      </c>
      <c r="O7" s="4" t="s">
        <v>253</v>
      </c>
    </row>
    <row r="8" customFormat="false" ht="21.75" hidden="false" customHeight="true" outlineLevel="0" collapsed="false">
      <c r="B8" s="6" t="s">
        <v>50</v>
      </c>
      <c r="C8" s="6" t="s">
        <v>22</v>
      </c>
      <c r="D8" s="6" t="s">
        <v>254</v>
      </c>
      <c r="E8" s="10" t="n">
        <v>0</v>
      </c>
      <c r="F8" s="6" t="s">
        <v>22</v>
      </c>
      <c r="G8" s="7" t="s">
        <v>255</v>
      </c>
      <c r="H8" s="7" t="s">
        <v>256</v>
      </c>
      <c r="I8" s="7" t="s">
        <v>257</v>
      </c>
      <c r="J8" s="7" t="s">
        <v>258</v>
      </c>
      <c r="K8" s="7" t="s">
        <v>259</v>
      </c>
      <c r="L8" s="7" t="s">
        <v>260</v>
      </c>
      <c r="M8" s="7" t="s">
        <v>261</v>
      </c>
      <c r="N8" s="7" t="s">
        <v>236</v>
      </c>
      <c r="O8" s="6" t="s">
        <v>262</v>
      </c>
    </row>
    <row r="9" customFormat="false" ht="21.75" hidden="false" customHeight="true" outlineLevel="0" collapsed="false">
      <c r="B9" s="4" t="s">
        <v>50</v>
      </c>
      <c r="C9" s="4" t="s">
        <v>22</v>
      </c>
      <c r="D9" s="4" t="s">
        <v>263</v>
      </c>
      <c r="E9" s="9" t="n">
        <v>1</v>
      </c>
      <c r="F9" s="4" t="s">
        <v>24</v>
      </c>
      <c r="G9" s="5" t="s">
        <v>264</v>
      </c>
      <c r="H9" s="5" t="s">
        <v>265</v>
      </c>
      <c r="I9" s="5" t="s">
        <v>266</v>
      </c>
      <c r="J9" s="5" t="s">
        <v>267</v>
      </c>
      <c r="K9" s="5" t="s">
        <v>268</v>
      </c>
      <c r="L9" s="5" t="s">
        <v>244</v>
      </c>
      <c r="M9" s="5"/>
      <c r="N9" s="5" t="s">
        <v>236</v>
      </c>
      <c r="O9" s="4" t="s">
        <v>269</v>
      </c>
    </row>
    <row r="10" customFormat="false" ht="21.75" hidden="false" customHeight="true" outlineLevel="0" collapsed="false">
      <c r="B10" s="6" t="s">
        <v>50</v>
      </c>
      <c r="C10" s="6" t="s">
        <v>22</v>
      </c>
      <c r="D10" s="6" t="s">
        <v>270</v>
      </c>
      <c r="E10" s="10" t="n">
        <v>1</v>
      </c>
      <c r="F10" s="6" t="s">
        <v>24</v>
      </c>
      <c r="G10" s="7" t="s">
        <v>271</v>
      </c>
      <c r="H10" s="7" t="s">
        <v>272</v>
      </c>
      <c r="I10" s="7" t="s">
        <v>273</v>
      </c>
      <c r="J10" s="7" t="s">
        <v>274</v>
      </c>
      <c r="K10" s="7" t="s">
        <v>275</v>
      </c>
      <c r="L10" s="7" t="s">
        <v>234</v>
      </c>
      <c r="M10" s="7" t="s">
        <v>276</v>
      </c>
      <c r="N10" s="7" t="s">
        <v>236</v>
      </c>
      <c r="O10" s="6" t="s">
        <v>277</v>
      </c>
    </row>
    <row r="11" customFormat="false" ht="21.75" hidden="false" customHeight="true" outlineLevel="0" collapsed="false">
      <c r="B11" s="4" t="s">
        <v>50</v>
      </c>
      <c r="C11" s="4" t="s">
        <v>22</v>
      </c>
      <c r="D11" s="4" t="s">
        <v>278</v>
      </c>
      <c r="E11" s="9" t="n">
        <v>1</v>
      </c>
      <c r="F11" s="4" t="s">
        <v>24</v>
      </c>
      <c r="G11" s="5" t="s">
        <v>279</v>
      </c>
      <c r="H11" s="5" t="s">
        <v>280</v>
      </c>
      <c r="I11" s="5" t="s">
        <v>281</v>
      </c>
      <c r="J11" s="5" t="s">
        <v>282</v>
      </c>
      <c r="K11" s="5" t="s">
        <v>283</v>
      </c>
      <c r="L11" s="5" t="s">
        <v>234</v>
      </c>
      <c r="M11" s="5"/>
      <c r="N11" s="5" t="s">
        <v>236</v>
      </c>
      <c r="O11" s="4" t="s">
        <v>284</v>
      </c>
    </row>
    <row r="12" customFormat="false" ht="21.75" hidden="false" customHeight="true" outlineLevel="0" collapsed="false">
      <c r="B12" s="6" t="s">
        <v>50</v>
      </c>
      <c r="C12" s="6" t="s">
        <v>22</v>
      </c>
      <c r="D12" s="6" t="s">
        <v>285</v>
      </c>
      <c r="E12" s="10" t="n">
        <v>2</v>
      </c>
      <c r="F12" s="6" t="s">
        <v>26</v>
      </c>
      <c r="G12" s="7" t="s">
        <v>286</v>
      </c>
      <c r="H12" s="7" t="s">
        <v>287</v>
      </c>
      <c r="I12" s="7" t="s">
        <v>288</v>
      </c>
      <c r="J12" s="7" t="s">
        <v>289</v>
      </c>
      <c r="K12" s="7" t="s">
        <v>290</v>
      </c>
      <c r="L12" s="7" t="s">
        <v>291</v>
      </c>
      <c r="M12" s="7" t="s">
        <v>292</v>
      </c>
      <c r="N12" s="7" t="s">
        <v>236</v>
      </c>
      <c r="O12" s="6" t="s">
        <v>293</v>
      </c>
    </row>
    <row r="13" customFormat="false" ht="21.75" hidden="false" customHeight="true" outlineLevel="0" collapsed="false">
      <c r="B13" s="4" t="s">
        <v>50</v>
      </c>
      <c r="C13" s="4" t="s">
        <v>22</v>
      </c>
      <c r="D13" s="4" t="s">
        <v>294</v>
      </c>
      <c r="E13" s="9" t="n">
        <v>1</v>
      </c>
      <c r="F13" s="4" t="s">
        <v>24</v>
      </c>
      <c r="G13" s="5" t="s">
        <v>295</v>
      </c>
      <c r="H13" s="5" t="s">
        <v>296</v>
      </c>
      <c r="I13" s="5" t="s">
        <v>297</v>
      </c>
      <c r="J13" s="5" t="s">
        <v>298</v>
      </c>
      <c r="K13" s="5" t="s">
        <v>299</v>
      </c>
      <c r="L13" s="5" t="s">
        <v>244</v>
      </c>
      <c r="M13" s="5"/>
      <c r="N13" s="5" t="s">
        <v>236</v>
      </c>
      <c r="O13" s="4" t="s">
        <v>300</v>
      </c>
    </row>
    <row r="14" customFormat="false" ht="21.75" hidden="false" customHeight="true" outlineLevel="0" collapsed="false">
      <c r="B14" s="6" t="s">
        <v>50</v>
      </c>
      <c r="C14" s="6" t="s">
        <v>22</v>
      </c>
      <c r="D14" s="6" t="s">
        <v>301</v>
      </c>
      <c r="E14" s="10" t="n">
        <v>1</v>
      </c>
      <c r="F14" s="6" t="s">
        <v>24</v>
      </c>
      <c r="G14" s="7" t="s">
        <v>302</v>
      </c>
      <c r="H14" s="7" t="s">
        <v>303</v>
      </c>
      <c r="I14" s="7" t="s">
        <v>304</v>
      </c>
      <c r="J14" s="7" t="s">
        <v>305</v>
      </c>
      <c r="K14" s="7" t="s">
        <v>306</v>
      </c>
      <c r="L14" s="7" t="s">
        <v>244</v>
      </c>
      <c r="M14" s="7"/>
      <c r="N14" s="7" t="s">
        <v>236</v>
      </c>
      <c r="O14" s="6" t="s">
        <v>307</v>
      </c>
    </row>
    <row r="15" customFormat="false" ht="21.75" hidden="false" customHeight="true" outlineLevel="0" collapsed="false">
      <c r="B15" s="4" t="s">
        <v>50</v>
      </c>
      <c r="C15" s="4" t="s">
        <v>22</v>
      </c>
      <c r="D15" s="4" t="s">
        <v>308</v>
      </c>
      <c r="E15" s="9" t="n">
        <v>1</v>
      </c>
      <c r="F15" s="4" t="s">
        <v>24</v>
      </c>
      <c r="G15" s="5" t="s">
        <v>309</v>
      </c>
      <c r="H15" s="5" t="s">
        <v>310</v>
      </c>
      <c r="I15" s="5" t="s">
        <v>311</v>
      </c>
      <c r="J15" s="5" t="s">
        <v>312</v>
      </c>
      <c r="K15" s="5" t="s">
        <v>313</v>
      </c>
      <c r="L15" s="5" t="s">
        <v>234</v>
      </c>
      <c r="M15" s="5"/>
      <c r="N15" s="5" t="s">
        <v>236</v>
      </c>
      <c r="O15" s="4" t="s">
        <v>314</v>
      </c>
    </row>
    <row r="16" customFormat="false" ht="21.75" hidden="false" customHeight="true" outlineLevel="0" collapsed="false">
      <c r="B16" s="6" t="s">
        <v>50</v>
      </c>
      <c r="C16" s="6" t="s">
        <v>22</v>
      </c>
      <c r="D16" s="6" t="s">
        <v>315</v>
      </c>
      <c r="E16" s="10" t="n">
        <v>1</v>
      </c>
      <c r="F16" s="6" t="s">
        <v>24</v>
      </c>
      <c r="G16" s="7" t="s">
        <v>316</v>
      </c>
      <c r="H16" s="7" t="s">
        <v>317</v>
      </c>
      <c r="I16" s="7" t="s">
        <v>318</v>
      </c>
      <c r="J16" s="7" t="s">
        <v>319</v>
      </c>
      <c r="K16" s="7" t="s">
        <v>320</v>
      </c>
      <c r="L16" s="7" t="s">
        <v>244</v>
      </c>
      <c r="M16" s="7" t="s">
        <v>321</v>
      </c>
      <c r="N16" s="7" t="s">
        <v>236</v>
      </c>
      <c r="O16" s="6" t="s">
        <v>322</v>
      </c>
    </row>
    <row r="17" customFormat="false" ht="21.75" hidden="false" customHeight="true" outlineLevel="0" collapsed="false">
      <c r="B17" s="4" t="s">
        <v>50</v>
      </c>
      <c r="C17" s="4" t="s">
        <v>22</v>
      </c>
      <c r="D17" s="4" t="s">
        <v>323</v>
      </c>
      <c r="E17" s="9" t="n">
        <v>1</v>
      </c>
      <c r="F17" s="4" t="s">
        <v>24</v>
      </c>
      <c r="G17" s="5" t="s">
        <v>324</v>
      </c>
      <c r="H17" s="5" t="s">
        <v>325</v>
      </c>
      <c r="I17" s="5" t="s">
        <v>326</v>
      </c>
      <c r="J17" s="5" t="s">
        <v>327</v>
      </c>
      <c r="K17" s="5"/>
      <c r="L17" s="5"/>
      <c r="M17" s="5"/>
      <c r="N17" s="5" t="s">
        <v>236</v>
      </c>
      <c r="O17" s="4" t="s">
        <v>328</v>
      </c>
    </row>
    <row r="18" customFormat="false" ht="21.75" hidden="false" customHeight="true" outlineLevel="0" collapsed="false">
      <c r="B18" s="6" t="s">
        <v>50</v>
      </c>
      <c r="C18" s="6" t="s">
        <v>22</v>
      </c>
      <c r="D18" s="6" t="s">
        <v>329</v>
      </c>
      <c r="E18" s="10" t="n">
        <v>1</v>
      </c>
      <c r="F18" s="6" t="s">
        <v>24</v>
      </c>
      <c r="G18" s="7" t="s">
        <v>330</v>
      </c>
      <c r="H18" s="7" t="s">
        <v>331</v>
      </c>
      <c r="I18" s="7" t="s">
        <v>332</v>
      </c>
      <c r="J18" s="7" t="s">
        <v>333</v>
      </c>
      <c r="K18" s="7" t="s">
        <v>334</v>
      </c>
      <c r="L18" s="7" t="s">
        <v>335</v>
      </c>
      <c r="M18" s="7" t="s">
        <v>336</v>
      </c>
      <c r="N18" s="7" t="s">
        <v>236</v>
      </c>
      <c r="O18" s="6" t="s">
        <v>337</v>
      </c>
    </row>
    <row r="19" customFormat="false" ht="21.75" hidden="false" customHeight="true" outlineLevel="0" collapsed="false">
      <c r="B19" s="4" t="s">
        <v>50</v>
      </c>
      <c r="C19" s="4" t="s">
        <v>22</v>
      </c>
      <c r="D19" s="4" t="s">
        <v>338</v>
      </c>
      <c r="E19" s="9" t="n">
        <v>3</v>
      </c>
      <c r="F19" s="4" t="s">
        <v>28</v>
      </c>
      <c r="G19" s="5" t="s">
        <v>339</v>
      </c>
      <c r="H19" s="5" t="s">
        <v>340</v>
      </c>
      <c r="I19" s="5" t="s">
        <v>341</v>
      </c>
      <c r="J19" s="5" t="s">
        <v>342</v>
      </c>
      <c r="K19" s="5" t="s">
        <v>343</v>
      </c>
      <c r="L19" s="5" t="s">
        <v>244</v>
      </c>
      <c r="M19" s="5" t="s">
        <v>344</v>
      </c>
      <c r="N19" s="5" t="s">
        <v>236</v>
      </c>
      <c r="O19" s="4" t="s">
        <v>345</v>
      </c>
    </row>
    <row r="20" customFormat="false" ht="21.75" hidden="false" customHeight="true" outlineLevel="0" collapsed="false">
      <c r="B20" s="6" t="s">
        <v>50</v>
      </c>
      <c r="C20" s="6" t="s">
        <v>22</v>
      </c>
      <c r="D20" s="6" t="s">
        <v>346</v>
      </c>
      <c r="E20" s="10" t="n">
        <v>2</v>
      </c>
      <c r="F20" s="6" t="s">
        <v>26</v>
      </c>
      <c r="G20" s="7" t="s">
        <v>347</v>
      </c>
      <c r="H20" s="7" t="s">
        <v>348</v>
      </c>
      <c r="I20" s="7" t="s">
        <v>349</v>
      </c>
      <c r="J20" s="7" t="s">
        <v>350</v>
      </c>
      <c r="K20" s="7" t="s">
        <v>351</v>
      </c>
      <c r="L20" s="7" t="s">
        <v>234</v>
      </c>
      <c r="M20" s="7"/>
      <c r="N20" s="7" t="s">
        <v>236</v>
      </c>
      <c r="O20" s="6" t="s">
        <v>352</v>
      </c>
    </row>
    <row r="21" customFormat="false" ht="21.75" hidden="false" customHeight="true" outlineLevel="0" collapsed="false">
      <c r="B21" s="4" t="s">
        <v>50</v>
      </c>
      <c r="C21" s="4" t="s">
        <v>22</v>
      </c>
      <c r="D21" s="4" t="s">
        <v>353</v>
      </c>
      <c r="E21" s="9" t="n">
        <v>4</v>
      </c>
      <c r="F21" s="4" t="s">
        <v>30</v>
      </c>
      <c r="G21" s="5" t="s">
        <v>354</v>
      </c>
      <c r="H21" s="5" t="s">
        <v>355</v>
      </c>
      <c r="I21" s="5" t="s">
        <v>356</v>
      </c>
      <c r="J21" s="5" t="s">
        <v>357</v>
      </c>
      <c r="K21" s="5" t="s">
        <v>358</v>
      </c>
      <c r="L21" s="5" t="s">
        <v>335</v>
      </c>
      <c r="M21" s="5"/>
      <c r="N21" s="5" t="s">
        <v>236</v>
      </c>
      <c r="O21" s="4" t="s">
        <v>359</v>
      </c>
    </row>
    <row r="22" customFormat="false" ht="21.75" hidden="false" customHeight="true" outlineLevel="0" collapsed="false">
      <c r="B22" s="6" t="s">
        <v>50</v>
      </c>
      <c r="C22" s="6" t="s">
        <v>22</v>
      </c>
      <c r="D22" s="6" t="s">
        <v>360</v>
      </c>
      <c r="E22" s="10" t="n">
        <v>4</v>
      </c>
      <c r="F22" s="6" t="s">
        <v>30</v>
      </c>
      <c r="G22" s="7" t="s">
        <v>361</v>
      </c>
      <c r="H22" s="7" t="s">
        <v>362</v>
      </c>
      <c r="I22" s="7" t="s">
        <v>363</v>
      </c>
      <c r="J22" s="7" t="s">
        <v>364</v>
      </c>
      <c r="K22" s="7" t="s">
        <v>365</v>
      </c>
      <c r="L22" s="7" t="s">
        <v>335</v>
      </c>
      <c r="M22" s="7"/>
      <c r="N22" s="7" t="s">
        <v>236</v>
      </c>
      <c r="O22" s="6" t="s">
        <v>366</v>
      </c>
    </row>
    <row r="23" customFormat="false" ht="21.75" hidden="false" customHeight="true" outlineLevel="0" collapsed="false">
      <c r="B23" s="4" t="s">
        <v>50</v>
      </c>
      <c r="C23" s="4" t="s">
        <v>22</v>
      </c>
      <c r="D23" s="4" t="s">
        <v>367</v>
      </c>
      <c r="E23" s="9" t="n">
        <v>4</v>
      </c>
      <c r="F23" s="4" t="s">
        <v>30</v>
      </c>
      <c r="G23" s="5" t="s">
        <v>368</v>
      </c>
      <c r="H23" s="5" t="s">
        <v>369</v>
      </c>
      <c r="I23" s="5" t="s">
        <v>370</v>
      </c>
      <c r="J23" s="5" t="s">
        <v>371</v>
      </c>
      <c r="K23" s="5" t="s">
        <v>372</v>
      </c>
      <c r="L23" s="5" t="s">
        <v>244</v>
      </c>
      <c r="M23" s="5" t="s">
        <v>373</v>
      </c>
      <c r="N23" s="5" t="s">
        <v>236</v>
      </c>
      <c r="O23" s="4" t="s">
        <v>374</v>
      </c>
    </row>
    <row r="24" customFormat="false" ht="21.75" hidden="false" customHeight="true" outlineLevel="0" collapsed="false">
      <c r="B24" s="6" t="s">
        <v>50</v>
      </c>
      <c r="C24" s="6" t="s">
        <v>22</v>
      </c>
      <c r="D24" s="6" t="s">
        <v>375</v>
      </c>
      <c r="E24" s="10" t="n">
        <v>4</v>
      </c>
      <c r="F24" s="6" t="s">
        <v>30</v>
      </c>
      <c r="G24" s="7" t="s">
        <v>376</v>
      </c>
      <c r="H24" s="7" t="s">
        <v>377</v>
      </c>
      <c r="I24" s="7" t="s">
        <v>378</v>
      </c>
      <c r="J24" s="7" t="s">
        <v>379</v>
      </c>
      <c r="K24" s="7" t="s">
        <v>380</v>
      </c>
      <c r="L24" s="7" t="s">
        <v>234</v>
      </c>
      <c r="M24" s="7" t="s">
        <v>381</v>
      </c>
      <c r="N24" s="7" t="s">
        <v>236</v>
      </c>
      <c r="O24" s="6" t="s">
        <v>382</v>
      </c>
    </row>
    <row r="25" customFormat="false" ht="21.75" hidden="false" customHeight="true" outlineLevel="0" collapsed="false">
      <c r="B25" s="4" t="s">
        <v>50</v>
      </c>
      <c r="C25" s="4" t="s">
        <v>22</v>
      </c>
      <c r="D25" s="4" t="s">
        <v>383</v>
      </c>
      <c r="E25" s="9" t="n">
        <v>2</v>
      </c>
      <c r="F25" s="4" t="s">
        <v>26</v>
      </c>
      <c r="G25" s="5" t="s">
        <v>384</v>
      </c>
      <c r="H25" s="5" t="s">
        <v>385</v>
      </c>
      <c r="I25" s="5" t="s">
        <v>386</v>
      </c>
      <c r="J25" s="5" t="s">
        <v>387</v>
      </c>
      <c r="K25" s="5" t="s">
        <v>388</v>
      </c>
      <c r="L25" s="5" t="s">
        <v>389</v>
      </c>
      <c r="M25" s="5" t="s">
        <v>390</v>
      </c>
      <c r="N25" s="5" t="s">
        <v>236</v>
      </c>
      <c r="O25" s="4" t="s">
        <v>391</v>
      </c>
    </row>
    <row r="26" customFormat="false" ht="21.75" hidden="false" customHeight="true" outlineLevel="0" collapsed="false">
      <c r="B26" s="6" t="s">
        <v>50</v>
      </c>
      <c r="C26" s="6" t="s">
        <v>22</v>
      </c>
      <c r="D26" s="6" t="s">
        <v>392</v>
      </c>
      <c r="E26" s="10" t="n">
        <v>3</v>
      </c>
      <c r="F26" s="6" t="s">
        <v>28</v>
      </c>
      <c r="G26" s="7" t="s">
        <v>393</v>
      </c>
      <c r="H26" s="7" t="s">
        <v>394</v>
      </c>
      <c r="I26" s="7" t="s">
        <v>395</v>
      </c>
      <c r="J26" s="7" t="s">
        <v>396</v>
      </c>
      <c r="K26" s="7" t="s">
        <v>397</v>
      </c>
      <c r="L26" s="7" t="s">
        <v>234</v>
      </c>
      <c r="M26" s="7"/>
      <c r="N26" s="7" t="s">
        <v>236</v>
      </c>
      <c r="O26" s="6" t="s">
        <v>398</v>
      </c>
    </row>
    <row r="27" customFormat="false" ht="21.75" hidden="false" customHeight="true" outlineLevel="0" collapsed="false">
      <c r="B27" s="4" t="s">
        <v>56</v>
      </c>
      <c r="C27" s="4" t="s">
        <v>22</v>
      </c>
      <c r="D27" s="4" t="s">
        <v>399</v>
      </c>
      <c r="E27" s="9" t="n">
        <v>0</v>
      </c>
      <c r="F27" s="4" t="s">
        <v>22</v>
      </c>
      <c r="G27" s="5" t="s">
        <v>400</v>
      </c>
      <c r="H27" s="5" t="s">
        <v>401</v>
      </c>
      <c r="I27" s="5" t="s">
        <v>402</v>
      </c>
      <c r="J27" s="5" t="s">
        <v>403</v>
      </c>
      <c r="K27" s="5" t="s">
        <v>404</v>
      </c>
      <c r="L27" s="5" t="s">
        <v>244</v>
      </c>
      <c r="M27" s="5" t="s">
        <v>405</v>
      </c>
      <c r="N27" s="5" t="s">
        <v>236</v>
      </c>
      <c r="O27" s="4" t="s">
        <v>406</v>
      </c>
    </row>
    <row r="28" customFormat="false" ht="21.75" hidden="false" customHeight="true" outlineLevel="0" collapsed="false">
      <c r="B28" s="6" t="s">
        <v>56</v>
      </c>
      <c r="C28" s="6" t="s">
        <v>22</v>
      </c>
      <c r="D28" s="6" t="s">
        <v>407</v>
      </c>
      <c r="E28" s="10" t="n">
        <v>0</v>
      </c>
      <c r="F28" s="6" t="s">
        <v>22</v>
      </c>
      <c r="G28" s="7" t="s">
        <v>408</v>
      </c>
      <c r="H28" s="7" t="s">
        <v>409</v>
      </c>
      <c r="I28" s="7" t="s">
        <v>410</v>
      </c>
      <c r="J28" s="7" t="s">
        <v>411</v>
      </c>
      <c r="K28" s="7" t="s">
        <v>412</v>
      </c>
      <c r="L28" s="7" t="s">
        <v>244</v>
      </c>
      <c r="M28" s="7"/>
      <c r="N28" s="7" t="s">
        <v>236</v>
      </c>
      <c r="O28" s="6" t="s">
        <v>413</v>
      </c>
    </row>
    <row r="29" customFormat="false" ht="21.75" hidden="false" customHeight="true" outlineLevel="0" collapsed="false">
      <c r="B29" s="4" t="s">
        <v>56</v>
      </c>
      <c r="C29" s="4" t="s">
        <v>22</v>
      </c>
      <c r="D29" s="4" t="s">
        <v>414</v>
      </c>
      <c r="E29" s="9" t="n">
        <v>0</v>
      </c>
      <c r="F29" s="4" t="s">
        <v>22</v>
      </c>
      <c r="G29" s="5" t="s">
        <v>415</v>
      </c>
      <c r="H29" s="5" t="s">
        <v>416</v>
      </c>
      <c r="I29" s="5" t="s">
        <v>417</v>
      </c>
      <c r="J29" s="5" t="s">
        <v>418</v>
      </c>
      <c r="K29" s="5"/>
      <c r="L29" s="5"/>
      <c r="M29" s="5"/>
      <c r="N29" s="5" t="s">
        <v>236</v>
      </c>
      <c r="O29" s="4" t="s">
        <v>419</v>
      </c>
    </row>
    <row r="30" customFormat="false" ht="21.75" hidden="false" customHeight="true" outlineLevel="0" collapsed="false">
      <c r="B30" s="6" t="s">
        <v>56</v>
      </c>
      <c r="C30" s="6" t="s">
        <v>22</v>
      </c>
      <c r="D30" s="6" t="s">
        <v>420</v>
      </c>
      <c r="E30" s="10" t="n">
        <v>1</v>
      </c>
      <c r="F30" s="6" t="s">
        <v>24</v>
      </c>
      <c r="G30" s="7" t="s">
        <v>421</v>
      </c>
      <c r="H30" s="7" t="s">
        <v>422</v>
      </c>
      <c r="I30" s="7" t="s">
        <v>423</v>
      </c>
      <c r="J30" s="7" t="s">
        <v>424</v>
      </c>
      <c r="K30" s="7"/>
      <c r="L30" s="7"/>
      <c r="M30" s="7"/>
      <c r="N30" s="7" t="s">
        <v>236</v>
      </c>
      <c r="O30" s="6" t="s">
        <v>425</v>
      </c>
    </row>
    <row r="31" customFormat="false" ht="21.75" hidden="false" customHeight="true" outlineLevel="0" collapsed="false">
      <c r="B31" s="4" t="s">
        <v>56</v>
      </c>
      <c r="C31" s="4" t="s">
        <v>22</v>
      </c>
      <c r="D31" s="4" t="s">
        <v>426</v>
      </c>
      <c r="E31" s="9" t="n">
        <v>1</v>
      </c>
      <c r="F31" s="4" t="s">
        <v>24</v>
      </c>
      <c r="G31" s="5" t="s">
        <v>427</v>
      </c>
      <c r="H31" s="5" t="s">
        <v>428</v>
      </c>
      <c r="I31" s="5" t="s">
        <v>429</v>
      </c>
      <c r="J31" s="5" t="s">
        <v>430</v>
      </c>
      <c r="K31" s="5"/>
      <c r="L31" s="5"/>
      <c r="M31" s="5"/>
      <c r="N31" s="5" t="s">
        <v>236</v>
      </c>
      <c r="O31" s="4" t="s">
        <v>431</v>
      </c>
    </row>
    <row r="32" customFormat="false" ht="21.75" hidden="false" customHeight="true" outlineLevel="0" collapsed="false">
      <c r="B32" s="6" t="s">
        <v>56</v>
      </c>
      <c r="C32" s="6" t="s">
        <v>22</v>
      </c>
      <c r="D32" s="6" t="s">
        <v>432</v>
      </c>
      <c r="E32" s="10" t="n">
        <v>1</v>
      </c>
      <c r="F32" s="6" t="s">
        <v>24</v>
      </c>
      <c r="G32" s="7" t="s">
        <v>433</v>
      </c>
      <c r="H32" s="7" t="s">
        <v>434</v>
      </c>
      <c r="I32" s="7" t="s">
        <v>435</v>
      </c>
      <c r="J32" s="7" t="s">
        <v>436</v>
      </c>
      <c r="K32" s="7" t="s">
        <v>437</v>
      </c>
      <c r="L32" s="7" t="s">
        <v>234</v>
      </c>
      <c r="M32" s="7" t="s">
        <v>438</v>
      </c>
      <c r="N32" s="7" t="s">
        <v>236</v>
      </c>
      <c r="O32" s="6" t="s">
        <v>439</v>
      </c>
    </row>
    <row r="33" customFormat="false" ht="21.75" hidden="false" customHeight="true" outlineLevel="0" collapsed="false">
      <c r="B33" s="4" t="s">
        <v>56</v>
      </c>
      <c r="C33" s="4" t="s">
        <v>22</v>
      </c>
      <c r="D33" s="4" t="s">
        <v>440</v>
      </c>
      <c r="E33" s="9" t="n">
        <v>1</v>
      </c>
      <c r="F33" s="4" t="s">
        <v>24</v>
      </c>
      <c r="G33" s="5" t="s">
        <v>441</v>
      </c>
      <c r="H33" s="5" t="s">
        <v>442</v>
      </c>
      <c r="I33" s="5" t="s">
        <v>443</v>
      </c>
      <c r="J33" s="5" t="s">
        <v>444</v>
      </c>
      <c r="K33" s="5" t="s">
        <v>445</v>
      </c>
      <c r="L33" s="5" t="s">
        <v>234</v>
      </c>
      <c r="M33" s="5" t="s">
        <v>446</v>
      </c>
      <c r="N33" s="5" t="s">
        <v>236</v>
      </c>
      <c r="O33" s="4" t="s">
        <v>447</v>
      </c>
    </row>
    <row r="34" customFormat="false" ht="21.75" hidden="false" customHeight="true" outlineLevel="0" collapsed="false">
      <c r="B34" s="6" t="s">
        <v>56</v>
      </c>
      <c r="C34" s="6" t="s">
        <v>22</v>
      </c>
      <c r="D34" s="6" t="s">
        <v>448</v>
      </c>
      <c r="E34" s="10" t="n">
        <v>1</v>
      </c>
      <c r="F34" s="6" t="s">
        <v>24</v>
      </c>
      <c r="G34" s="7" t="s">
        <v>449</v>
      </c>
      <c r="H34" s="7" t="s">
        <v>450</v>
      </c>
      <c r="I34" s="7" t="s">
        <v>451</v>
      </c>
      <c r="J34" s="7" t="s">
        <v>452</v>
      </c>
      <c r="K34" s="7" t="s">
        <v>453</v>
      </c>
      <c r="L34" s="7" t="s">
        <v>234</v>
      </c>
      <c r="M34" s="7"/>
      <c r="N34" s="7" t="s">
        <v>236</v>
      </c>
      <c r="O34" s="6" t="s">
        <v>454</v>
      </c>
    </row>
    <row r="35" customFormat="false" ht="21.75" hidden="false" customHeight="true" outlineLevel="0" collapsed="false">
      <c r="B35" s="4" t="s">
        <v>56</v>
      </c>
      <c r="C35" s="4" t="s">
        <v>22</v>
      </c>
      <c r="D35" s="4" t="s">
        <v>455</v>
      </c>
      <c r="E35" s="9" t="n">
        <v>0</v>
      </c>
      <c r="F35" s="4" t="s">
        <v>22</v>
      </c>
      <c r="G35" s="5" t="s">
        <v>456</v>
      </c>
      <c r="H35" s="5" t="s">
        <v>457</v>
      </c>
      <c r="I35" s="5" t="s">
        <v>458</v>
      </c>
      <c r="J35" s="5" t="s">
        <v>459</v>
      </c>
      <c r="K35" s="5" t="s">
        <v>460</v>
      </c>
      <c r="L35" s="5" t="s">
        <v>244</v>
      </c>
      <c r="M35" s="5" t="s">
        <v>461</v>
      </c>
      <c r="N35" s="5" t="s">
        <v>236</v>
      </c>
      <c r="O35" s="4" t="s">
        <v>462</v>
      </c>
    </row>
    <row r="36" customFormat="false" ht="21.75" hidden="false" customHeight="true" outlineLevel="0" collapsed="false">
      <c r="B36" s="6" t="s">
        <v>56</v>
      </c>
      <c r="C36" s="6" t="s">
        <v>22</v>
      </c>
      <c r="D36" s="6" t="s">
        <v>463</v>
      </c>
      <c r="E36" s="10" t="n">
        <v>1</v>
      </c>
      <c r="F36" s="6" t="s">
        <v>24</v>
      </c>
      <c r="G36" s="7" t="s">
        <v>464</v>
      </c>
      <c r="H36" s="7" t="s">
        <v>465</v>
      </c>
      <c r="I36" s="7" t="s">
        <v>466</v>
      </c>
      <c r="J36" s="7" t="s">
        <v>467</v>
      </c>
      <c r="K36" s="7" t="s">
        <v>468</v>
      </c>
      <c r="L36" s="7" t="s">
        <v>469</v>
      </c>
      <c r="M36" s="7" t="s">
        <v>470</v>
      </c>
      <c r="N36" s="7" t="s">
        <v>236</v>
      </c>
      <c r="O36" s="6" t="s">
        <v>471</v>
      </c>
    </row>
    <row r="37" customFormat="false" ht="21.75" hidden="false" customHeight="true" outlineLevel="0" collapsed="false">
      <c r="B37" s="4" t="s">
        <v>56</v>
      </c>
      <c r="C37" s="4" t="s">
        <v>22</v>
      </c>
      <c r="D37" s="4" t="s">
        <v>472</v>
      </c>
      <c r="E37" s="9" t="n">
        <v>1</v>
      </c>
      <c r="F37" s="4" t="s">
        <v>24</v>
      </c>
      <c r="G37" s="5" t="s">
        <v>473</v>
      </c>
      <c r="H37" s="5" t="s">
        <v>474</v>
      </c>
      <c r="I37" s="5" t="s">
        <v>475</v>
      </c>
      <c r="J37" s="5" t="s">
        <v>476</v>
      </c>
      <c r="K37" s="5" t="s">
        <v>477</v>
      </c>
      <c r="L37" s="5" t="s">
        <v>234</v>
      </c>
      <c r="M37" s="5"/>
      <c r="N37" s="5" t="s">
        <v>236</v>
      </c>
      <c r="O37" s="4" t="s">
        <v>478</v>
      </c>
    </row>
    <row r="38" customFormat="false" ht="21.75" hidden="false" customHeight="true" outlineLevel="0" collapsed="false">
      <c r="B38" s="6" t="s">
        <v>56</v>
      </c>
      <c r="C38" s="6" t="s">
        <v>22</v>
      </c>
      <c r="D38" s="6" t="s">
        <v>479</v>
      </c>
      <c r="E38" s="10" t="n">
        <v>2</v>
      </c>
      <c r="F38" s="6" t="s">
        <v>26</v>
      </c>
      <c r="G38" s="7" t="s">
        <v>480</v>
      </c>
      <c r="H38" s="7" t="s">
        <v>481</v>
      </c>
      <c r="I38" s="7" t="s">
        <v>482</v>
      </c>
      <c r="J38" s="7" t="s">
        <v>483</v>
      </c>
      <c r="K38" s="7" t="s">
        <v>484</v>
      </c>
      <c r="L38" s="7" t="s">
        <v>234</v>
      </c>
      <c r="M38" s="7" t="s">
        <v>485</v>
      </c>
      <c r="N38" s="7" t="s">
        <v>236</v>
      </c>
      <c r="O38" s="6" t="s">
        <v>486</v>
      </c>
    </row>
    <row r="39" customFormat="false" ht="21.75" hidden="false" customHeight="true" outlineLevel="0" collapsed="false">
      <c r="B39" s="4" t="s">
        <v>56</v>
      </c>
      <c r="C39" s="4" t="s">
        <v>22</v>
      </c>
      <c r="D39" s="4" t="s">
        <v>487</v>
      </c>
      <c r="E39" s="9" t="n">
        <v>4</v>
      </c>
      <c r="F39" s="4" t="s">
        <v>30</v>
      </c>
      <c r="G39" s="5" t="s">
        <v>488</v>
      </c>
      <c r="H39" s="5" t="s">
        <v>489</v>
      </c>
      <c r="I39" s="5" t="s">
        <v>490</v>
      </c>
      <c r="J39" s="5" t="s">
        <v>491</v>
      </c>
      <c r="K39" s="5" t="s">
        <v>492</v>
      </c>
      <c r="L39" s="5" t="s">
        <v>335</v>
      </c>
      <c r="M39" s="5" t="s">
        <v>493</v>
      </c>
      <c r="N39" s="5" t="s">
        <v>236</v>
      </c>
      <c r="O39" s="4" t="s">
        <v>494</v>
      </c>
    </row>
    <row r="40" customFormat="false" ht="21.75" hidden="false" customHeight="true" outlineLevel="0" collapsed="false">
      <c r="B40" s="6" t="s">
        <v>56</v>
      </c>
      <c r="C40" s="6" t="s">
        <v>22</v>
      </c>
      <c r="D40" s="6" t="s">
        <v>495</v>
      </c>
      <c r="E40" s="10" t="n">
        <v>4</v>
      </c>
      <c r="F40" s="6" t="s">
        <v>30</v>
      </c>
      <c r="G40" s="7" t="s">
        <v>496</v>
      </c>
      <c r="H40" s="7" t="s">
        <v>497</v>
      </c>
      <c r="I40" s="7" t="s">
        <v>498</v>
      </c>
      <c r="J40" s="7" t="s">
        <v>499</v>
      </c>
      <c r="K40" s="7" t="s">
        <v>500</v>
      </c>
      <c r="L40" s="7" t="s">
        <v>234</v>
      </c>
      <c r="M40" s="7" t="s">
        <v>501</v>
      </c>
      <c r="N40" s="7" t="s">
        <v>236</v>
      </c>
      <c r="O40" s="6" t="s">
        <v>502</v>
      </c>
    </row>
    <row r="41" customFormat="false" ht="21.75" hidden="false" customHeight="true" outlineLevel="0" collapsed="false">
      <c r="B41" s="4" t="s">
        <v>56</v>
      </c>
      <c r="C41" s="4" t="s">
        <v>22</v>
      </c>
      <c r="D41" s="4" t="s">
        <v>503</v>
      </c>
      <c r="E41" s="9" t="n">
        <v>2</v>
      </c>
      <c r="F41" s="4" t="s">
        <v>26</v>
      </c>
      <c r="G41" s="5" t="s">
        <v>504</v>
      </c>
      <c r="H41" s="5" t="s">
        <v>505</v>
      </c>
      <c r="I41" s="5" t="s">
        <v>506</v>
      </c>
      <c r="J41" s="5" t="s">
        <v>507</v>
      </c>
      <c r="K41" s="5" t="s">
        <v>508</v>
      </c>
      <c r="L41" s="5" t="s">
        <v>389</v>
      </c>
      <c r="M41" s="5" t="s">
        <v>509</v>
      </c>
      <c r="N41" s="5" t="s">
        <v>236</v>
      </c>
      <c r="O41" s="4" t="s">
        <v>510</v>
      </c>
    </row>
    <row r="42" customFormat="false" ht="21.75" hidden="false" customHeight="true" outlineLevel="0" collapsed="false">
      <c r="B42" s="6" t="s">
        <v>56</v>
      </c>
      <c r="C42" s="6" t="s">
        <v>22</v>
      </c>
      <c r="D42" s="6" t="s">
        <v>511</v>
      </c>
      <c r="E42" s="10" t="n">
        <v>4</v>
      </c>
      <c r="F42" s="6" t="s">
        <v>30</v>
      </c>
      <c r="G42" s="7" t="s">
        <v>512</v>
      </c>
      <c r="H42" s="7" t="s">
        <v>513</v>
      </c>
      <c r="I42" s="7" t="s">
        <v>514</v>
      </c>
      <c r="J42" s="7" t="s">
        <v>515</v>
      </c>
      <c r="K42" s="7" t="s">
        <v>516</v>
      </c>
      <c r="L42" s="7" t="s">
        <v>234</v>
      </c>
      <c r="M42" s="7" t="s">
        <v>517</v>
      </c>
      <c r="N42" s="7" t="s">
        <v>236</v>
      </c>
      <c r="O42" s="6" t="s">
        <v>518</v>
      </c>
    </row>
    <row r="43" customFormat="false" ht="21.75" hidden="false" customHeight="true" outlineLevel="0" collapsed="false">
      <c r="B43" s="4" t="s">
        <v>56</v>
      </c>
      <c r="C43" s="4" t="s">
        <v>22</v>
      </c>
      <c r="D43" s="4" t="s">
        <v>519</v>
      </c>
      <c r="E43" s="9" t="n">
        <v>4</v>
      </c>
      <c r="F43" s="4" t="s">
        <v>30</v>
      </c>
      <c r="G43" s="5" t="s">
        <v>520</v>
      </c>
      <c r="H43" s="5" t="s">
        <v>521</v>
      </c>
      <c r="I43" s="5" t="s">
        <v>522</v>
      </c>
      <c r="J43" s="5" t="s">
        <v>523</v>
      </c>
      <c r="K43" s="5" t="s">
        <v>524</v>
      </c>
      <c r="L43" s="5" t="s">
        <v>234</v>
      </c>
      <c r="M43" s="5"/>
      <c r="N43" s="5" t="s">
        <v>236</v>
      </c>
      <c r="O43" s="4" t="s">
        <v>525</v>
      </c>
    </row>
    <row r="44" customFormat="false" ht="21.75" hidden="false" customHeight="true" outlineLevel="0" collapsed="false">
      <c r="B44" s="6" t="s">
        <v>56</v>
      </c>
      <c r="C44" s="6" t="s">
        <v>22</v>
      </c>
      <c r="D44" s="6" t="s">
        <v>526</v>
      </c>
      <c r="E44" s="10" t="n">
        <v>3</v>
      </c>
      <c r="F44" s="6" t="s">
        <v>28</v>
      </c>
      <c r="G44" s="7" t="s">
        <v>527</v>
      </c>
      <c r="H44" s="7" t="s">
        <v>528</v>
      </c>
      <c r="I44" s="7" t="s">
        <v>529</v>
      </c>
      <c r="J44" s="7" t="s">
        <v>530</v>
      </c>
      <c r="K44" s="7" t="s">
        <v>531</v>
      </c>
      <c r="L44" s="7" t="s">
        <v>389</v>
      </c>
      <c r="M44" s="7" t="s">
        <v>532</v>
      </c>
      <c r="N44" s="7" t="s">
        <v>236</v>
      </c>
      <c r="O44" s="6" t="s">
        <v>533</v>
      </c>
    </row>
    <row r="45" customFormat="false" ht="21.75" hidden="false" customHeight="true" outlineLevel="0" collapsed="false">
      <c r="B45" s="4" t="s">
        <v>62</v>
      </c>
      <c r="C45" s="4" t="s">
        <v>22</v>
      </c>
      <c r="D45" s="4" t="s">
        <v>534</v>
      </c>
      <c r="E45" s="9" t="n">
        <v>0</v>
      </c>
      <c r="F45" s="4" t="s">
        <v>22</v>
      </c>
      <c r="G45" s="5" t="s">
        <v>535</v>
      </c>
      <c r="H45" s="5" t="s">
        <v>536</v>
      </c>
      <c r="I45" s="5" t="s">
        <v>537</v>
      </c>
      <c r="J45" s="5" t="s">
        <v>538</v>
      </c>
      <c r="K45" s="5" t="s">
        <v>539</v>
      </c>
      <c r="L45" s="5" t="s">
        <v>389</v>
      </c>
      <c r="M45" s="5" t="s">
        <v>540</v>
      </c>
      <c r="N45" s="5" t="s">
        <v>236</v>
      </c>
      <c r="O45" s="4" t="s">
        <v>541</v>
      </c>
    </row>
    <row r="46" customFormat="false" ht="21.75" hidden="false" customHeight="true" outlineLevel="0" collapsed="false">
      <c r="B46" s="6" t="s">
        <v>62</v>
      </c>
      <c r="C46" s="6" t="s">
        <v>22</v>
      </c>
      <c r="D46" s="6" t="s">
        <v>542</v>
      </c>
      <c r="E46" s="10" t="n">
        <v>0</v>
      </c>
      <c r="F46" s="6" t="s">
        <v>22</v>
      </c>
      <c r="G46" s="7" t="s">
        <v>543</v>
      </c>
      <c r="H46" s="7" t="s">
        <v>544</v>
      </c>
      <c r="I46" s="7" t="s">
        <v>545</v>
      </c>
      <c r="J46" s="7" t="s">
        <v>546</v>
      </c>
      <c r="K46" s="7"/>
      <c r="L46" s="7"/>
      <c r="M46" s="7"/>
      <c r="N46" s="7" t="s">
        <v>236</v>
      </c>
      <c r="O46" s="6" t="s">
        <v>547</v>
      </c>
    </row>
    <row r="47" customFormat="false" ht="21.75" hidden="false" customHeight="true" outlineLevel="0" collapsed="false">
      <c r="B47" s="4" t="s">
        <v>62</v>
      </c>
      <c r="C47" s="4" t="s">
        <v>22</v>
      </c>
      <c r="D47" s="4" t="s">
        <v>548</v>
      </c>
      <c r="E47" s="9" t="n">
        <v>3</v>
      </c>
      <c r="F47" s="4" t="s">
        <v>28</v>
      </c>
      <c r="G47" s="5" t="s">
        <v>549</v>
      </c>
      <c r="H47" s="5" t="s">
        <v>550</v>
      </c>
      <c r="I47" s="5" t="s">
        <v>551</v>
      </c>
      <c r="J47" s="5" t="s">
        <v>552</v>
      </c>
      <c r="K47" s="5"/>
      <c r="L47" s="5"/>
      <c r="M47" s="5"/>
      <c r="N47" s="5" t="s">
        <v>236</v>
      </c>
      <c r="O47" s="4" t="s">
        <v>553</v>
      </c>
    </row>
    <row r="48" customFormat="false" ht="21.75" hidden="false" customHeight="true" outlineLevel="0" collapsed="false">
      <c r="B48" s="6" t="s">
        <v>62</v>
      </c>
      <c r="C48" s="6" t="s">
        <v>22</v>
      </c>
      <c r="D48" s="6" t="s">
        <v>554</v>
      </c>
      <c r="E48" s="10" t="n">
        <v>2</v>
      </c>
      <c r="F48" s="6" t="s">
        <v>26</v>
      </c>
      <c r="G48" s="7" t="s">
        <v>555</v>
      </c>
      <c r="H48" s="7" t="s">
        <v>556</v>
      </c>
      <c r="I48" s="7" t="s">
        <v>557</v>
      </c>
      <c r="J48" s="7" t="s">
        <v>558</v>
      </c>
      <c r="K48" s="7" t="s">
        <v>559</v>
      </c>
      <c r="L48" s="7" t="s">
        <v>389</v>
      </c>
      <c r="M48" s="7" t="s">
        <v>560</v>
      </c>
      <c r="N48" s="7" t="s">
        <v>236</v>
      </c>
      <c r="O48" s="6" t="s">
        <v>561</v>
      </c>
    </row>
    <row r="49" customFormat="false" ht="21.75" hidden="false" customHeight="true" outlineLevel="0" collapsed="false">
      <c r="B49" s="4" t="s">
        <v>62</v>
      </c>
      <c r="C49" s="4" t="s">
        <v>22</v>
      </c>
      <c r="D49" s="4" t="s">
        <v>562</v>
      </c>
      <c r="E49" s="9" t="n">
        <v>0</v>
      </c>
      <c r="F49" s="4" t="s">
        <v>22</v>
      </c>
      <c r="G49" s="5" t="s">
        <v>563</v>
      </c>
      <c r="H49" s="5" t="s">
        <v>564</v>
      </c>
      <c r="I49" s="5" t="s">
        <v>565</v>
      </c>
      <c r="J49" s="5" t="s">
        <v>566</v>
      </c>
      <c r="K49" s="5" t="s">
        <v>567</v>
      </c>
      <c r="L49" s="5" t="s">
        <v>244</v>
      </c>
      <c r="M49" s="5"/>
      <c r="N49" s="5" t="s">
        <v>236</v>
      </c>
      <c r="O49" s="4" t="s">
        <v>568</v>
      </c>
    </row>
    <row r="50" customFormat="false" ht="21.75" hidden="false" customHeight="true" outlineLevel="0" collapsed="false">
      <c r="B50" s="6" t="s">
        <v>62</v>
      </c>
      <c r="C50" s="6" t="s">
        <v>22</v>
      </c>
      <c r="D50" s="6" t="s">
        <v>569</v>
      </c>
      <c r="E50" s="10" t="n">
        <v>2</v>
      </c>
      <c r="F50" s="6" t="s">
        <v>26</v>
      </c>
      <c r="G50" s="7" t="s">
        <v>570</v>
      </c>
      <c r="H50" s="7" t="s">
        <v>571</v>
      </c>
      <c r="I50" s="7" t="s">
        <v>572</v>
      </c>
      <c r="J50" s="7" t="s">
        <v>573</v>
      </c>
      <c r="K50" s="7" t="s">
        <v>574</v>
      </c>
      <c r="L50" s="7" t="s">
        <v>389</v>
      </c>
      <c r="M50" s="7" t="s">
        <v>575</v>
      </c>
      <c r="N50" s="7" t="s">
        <v>236</v>
      </c>
      <c r="O50" s="6" t="s">
        <v>576</v>
      </c>
    </row>
    <row r="51" customFormat="false" ht="21.75" hidden="false" customHeight="true" outlineLevel="0" collapsed="false">
      <c r="B51" s="4" t="s">
        <v>62</v>
      </c>
      <c r="C51" s="4" t="s">
        <v>22</v>
      </c>
      <c r="D51" s="4" t="s">
        <v>577</v>
      </c>
      <c r="E51" s="9" t="n">
        <v>2</v>
      </c>
      <c r="F51" s="4" t="s">
        <v>26</v>
      </c>
      <c r="G51" s="5" t="s">
        <v>578</v>
      </c>
      <c r="H51" s="5" t="s">
        <v>579</v>
      </c>
      <c r="I51" s="5" t="s">
        <v>580</v>
      </c>
      <c r="J51" s="5" t="s">
        <v>581</v>
      </c>
      <c r="K51" s="5" t="s">
        <v>582</v>
      </c>
      <c r="L51" s="5" t="s">
        <v>260</v>
      </c>
      <c r="M51" s="5"/>
      <c r="N51" s="5" t="s">
        <v>236</v>
      </c>
      <c r="O51" s="4" t="s">
        <v>583</v>
      </c>
    </row>
    <row r="52" customFormat="false" ht="21.75" hidden="false" customHeight="true" outlineLevel="0" collapsed="false">
      <c r="B52" s="6" t="s">
        <v>62</v>
      </c>
      <c r="C52" s="6" t="s">
        <v>22</v>
      </c>
      <c r="D52" s="6" t="s">
        <v>584</v>
      </c>
      <c r="E52" s="10" t="n">
        <v>2</v>
      </c>
      <c r="F52" s="6" t="s">
        <v>26</v>
      </c>
      <c r="G52" s="7" t="s">
        <v>585</v>
      </c>
      <c r="H52" s="7" t="s">
        <v>586</v>
      </c>
      <c r="I52" s="7" t="s">
        <v>587</v>
      </c>
      <c r="J52" s="7" t="s">
        <v>588</v>
      </c>
      <c r="K52" s="7" t="s">
        <v>589</v>
      </c>
      <c r="L52" s="7" t="s">
        <v>260</v>
      </c>
      <c r="M52" s="7" t="s">
        <v>590</v>
      </c>
      <c r="N52" s="7" t="s">
        <v>236</v>
      </c>
      <c r="O52" s="6" t="s">
        <v>591</v>
      </c>
    </row>
    <row r="53" customFormat="false" ht="21.75" hidden="false" customHeight="true" outlineLevel="0" collapsed="false">
      <c r="B53" s="4" t="s">
        <v>62</v>
      </c>
      <c r="C53" s="4" t="s">
        <v>22</v>
      </c>
      <c r="D53" s="4" t="s">
        <v>592</v>
      </c>
      <c r="E53" s="9" t="n">
        <v>1</v>
      </c>
      <c r="F53" s="4" t="s">
        <v>24</v>
      </c>
      <c r="G53" s="5" t="s">
        <v>593</v>
      </c>
      <c r="H53" s="5" t="s">
        <v>594</v>
      </c>
      <c r="I53" s="5" t="s">
        <v>595</v>
      </c>
      <c r="J53" s="5" t="s">
        <v>596</v>
      </c>
      <c r="K53" s="5" t="s">
        <v>597</v>
      </c>
      <c r="L53" s="5" t="s">
        <v>469</v>
      </c>
      <c r="M53" s="5"/>
      <c r="N53" s="5" t="s">
        <v>236</v>
      </c>
      <c r="O53" s="4" t="s">
        <v>598</v>
      </c>
    </row>
    <row r="54" customFormat="false" ht="21.75" hidden="false" customHeight="true" outlineLevel="0" collapsed="false">
      <c r="B54" s="6" t="s">
        <v>62</v>
      </c>
      <c r="C54" s="6" t="s">
        <v>22</v>
      </c>
      <c r="D54" s="6" t="s">
        <v>599</v>
      </c>
      <c r="E54" s="10" t="n">
        <v>2</v>
      </c>
      <c r="F54" s="6" t="s">
        <v>26</v>
      </c>
      <c r="G54" s="7" t="s">
        <v>600</v>
      </c>
      <c r="H54" s="7" t="s">
        <v>601</v>
      </c>
      <c r="I54" s="7" t="s">
        <v>602</v>
      </c>
      <c r="J54" s="7" t="s">
        <v>603</v>
      </c>
      <c r="K54" s="7" t="s">
        <v>604</v>
      </c>
      <c r="L54" s="7" t="s">
        <v>244</v>
      </c>
      <c r="M54" s="7" t="s">
        <v>605</v>
      </c>
      <c r="N54" s="7" t="s">
        <v>236</v>
      </c>
      <c r="O54" s="6" t="s">
        <v>606</v>
      </c>
    </row>
    <row r="55" customFormat="false" ht="21.75" hidden="false" customHeight="true" outlineLevel="0" collapsed="false">
      <c r="B55" s="4" t="s">
        <v>62</v>
      </c>
      <c r="C55" s="4" t="s">
        <v>22</v>
      </c>
      <c r="D55" s="4" t="s">
        <v>607</v>
      </c>
      <c r="E55" s="9" t="n">
        <v>1</v>
      </c>
      <c r="F55" s="4" t="s">
        <v>24</v>
      </c>
      <c r="G55" s="5" t="s">
        <v>608</v>
      </c>
      <c r="H55" s="5" t="s">
        <v>609</v>
      </c>
      <c r="I55" s="5" t="s">
        <v>610</v>
      </c>
      <c r="J55" s="5" t="s">
        <v>611</v>
      </c>
      <c r="K55" s="5" t="s">
        <v>612</v>
      </c>
      <c r="L55" s="5" t="s">
        <v>260</v>
      </c>
      <c r="M55" s="5" t="s">
        <v>613</v>
      </c>
      <c r="N55" s="5" t="s">
        <v>236</v>
      </c>
      <c r="O55" s="4" t="s">
        <v>614</v>
      </c>
    </row>
    <row r="56" customFormat="false" ht="21.75" hidden="false" customHeight="true" outlineLevel="0" collapsed="false">
      <c r="B56" s="6" t="s">
        <v>62</v>
      </c>
      <c r="C56" s="6" t="s">
        <v>22</v>
      </c>
      <c r="D56" s="6" t="s">
        <v>615</v>
      </c>
      <c r="E56" s="10" t="n">
        <v>1</v>
      </c>
      <c r="F56" s="6" t="s">
        <v>24</v>
      </c>
      <c r="G56" s="7" t="s">
        <v>616</v>
      </c>
      <c r="H56" s="7" t="s">
        <v>617</v>
      </c>
      <c r="I56" s="7" t="s">
        <v>618</v>
      </c>
      <c r="J56" s="7" t="s">
        <v>619</v>
      </c>
      <c r="K56" s="7" t="s">
        <v>620</v>
      </c>
      <c r="L56" s="7" t="s">
        <v>234</v>
      </c>
      <c r="M56" s="7"/>
      <c r="N56" s="7" t="s">
        <v>236</v>
      </c>
      <c r="O56" s="6" t="s">
        <v>621</v>
      </c>
    </row>
    <row r="57" customFormat="false" ht="21.75" hidden="false" customHeight="true" outlineLevel="0" collapsed="false">
      <c r="B57" s="4" t="s">
        <v>62</v>
      </c>
      <c r="C57" s="4" t="s">
        <v>22</v>
      </c>
      <c r="D57" s="4" t="s">
        <v>622</v>
      </c>
      <c r="E57" s="9" t="n">
        <v>2</v>
      </c>
      <c r="F57" s="4" t="s">
        <v>26</v>
      </c>
      <c r="G57" s="5" t="s">
        <v>623</v>
      </c>
      <c r="H57" s="5" t="s">
        <v>624</v>
      </c>
      <c r="I57" s="5" t="s">
        <v>625</v>
      </c>
      <c r="J57" s="5" t="s">
        <v>626</v>
      </c>
      <c r="K57" s="5" t="s">
        <v>627</v>
      </c>
      <c r="L57" s="5" t="s">
        <v>389</v>
      </c>
      <c r="M57" s="5"/>
      <c r="N57" s="5" t="s">
        <v>236</v>
      </c>
      <c r="O57" s="4" t="s">
        <v>628</v>
      </c>
    </row>
    <row r="58" customFormat="false" ht="21.75" hidden="false" customHeight="true" outlineLevel="0" collapsed="false">
      <c r="B58" s="6" t="s">
        <v>62</v>
      </c>
      <c r="C58" s="6" t="s">
        <v>22</v>
      </c>
      <c r="D58" s="6" t="s">
        <v>629</v>
      </c>
      <c r="E58" s="10" t="n">
        <v>4</v>
      </c>
      <c r="F58" s="6" t="s">
        <v>30</v>
      </c>
      <c r="G58" s="7" t="s">
        <v>630</v>
      </c>
      <c r="H58" s="7" t="s">
        <v>631</v>
      </c>
      <c r="I58" s="7" t="s">
        <v>632</v>
      </c>
      <c r="J58" s="7" t="s">
        <v>633</v>
      </c>
      <c r="K58" s="7" t="s">
        <v>634</v>
      </c>
      <c r="L58" s="7" t="s">
        <v>234</v>
      </c>
      <c r="M58" s="7"/>
      <c r="N58" s="7" t="s">
        <v>236</v>
      </c>
      <c r="O58" s="6" t="s">
        <v>635</v>
      </c>
    </row>
    <row r="59" customFormat="false" ht="21.75" hidden="false" customHeight="true" outlineLevel="0" collapsed="false">
      <c r="B59" s="4" t="s">
        <v>62</v>
      </c>
      <c r="C59" s="4" t="s">
        <v>22</v>
      </c>
      <c r="D59" s="4" t="s">
        <v>636</v>
      </c>
      <c r="E59" s="9" t="n">
        <v>0</v>
      </c>
      <c r="F59" s="4" t="s">
        <v>22</v>
      </c>
      <c r="G59" s="5" t="s">
        <v>637</v>
      </c>
      <c r="H59" s="5" t="s">
        <v>638</v>
      </c>
      <c r="I59" s="5" t="s">
        <v>639</v>
      </c>
      <c r="J59" s="5" t="s">
        <v>640</v>
      </c>
      <c r="K59" s="5" t="s">
        <v>641</v>
      </c>
      <c r="L59" s="5" t="s">
        <v>244</v>
      </c>
      <c r="M59" s="5" t="s">
        <v>642</v>
      </c>
      <c r="N59" s="5" t="s">
        <v>236</v>
      </c>
      <c r="O59" s="4" t="s">
        <v>643</v>
      </c>
    </row>
    <row r="60" customFormat="false" ht="21.75" hidden="false" customHeight="true" outlineLevel="0" collapsed="false">
      <c r="B60" s="6" t="s">
        <v>62</v>
      </c>
      <c r="C60" s="6" t="s">
        <v>22</v>
      </c>
      <c r="D60" s="6" t="s">
        <v>644</v>
      </c>
      <c r="E60" s="10" t="n">
        <v>4</v>
      </c>
      <c r="F60" s="6" t="s">
        <v>30</v>
      </c>
      <c r="G60" s="7" t="s">
        <v>645</v>
      </c>
      <c r="H60" s="7" t="s">
        <v>646</v>
      </c>
      <c r="I60" s="7" t="s">
        <v>647</v>
      </c>
      <c r="J60" s="7" t="s">
        <v>648</v>
      </c>
      <c r="K60" s="7" t="s">
        <v>649</v>
      </c>
      <c r="L60" s="7" t="s">
        <v>335</v>
      </c>
      <c r="M60" s="7"/>
      <c r="N60" s="7" t="s">
        <v>236</v>
      </c>
      <c r="O60" s="6" t="s">
        <v>650</v>
      </c>
    </row>
    <row r="61" customFormat="false" ht="21.75" hidden="false" customHeight="true" outlineLevel="0" collapsed="false">
      <c r="B61" s="4" t="s">
        <v>62</v>
      </c>
      <c r="C61" s="4" t="s">
        <v>22</v>
      </c>
      <c r="D61" s="4" t="s">
        <v>651</v>
      </c>
      <c r="E61" s="9" t="n">
        <v>4</v>
      </c>
      <c r="F61" s="4" t="s">
        <v>30</v>
      </c>
      <c r="G61" s="5" t="s">
        <v>652</v>
      </c>
      <c r="H61" s="5" t="s">
        <v>653</v>
      </c>
      <c r="I61" s="5" t="s">
        <v>654</v>
      </c>
      <c r="J61" s="5" t="s">
        <v>655</v>
      </c>
      <c r="K61" s="5" t="s">
        <v>656</v>
      </c>
      <c r="L61" s="5" t="s">
        <v>244</v>
      </c>
      <c r="M61" s="5" t="s">
        <v>657</v>
      </c>
      <c r="N61" s="5" t="s">
        <v>236</v>
      </c>
      <c r="O61" s="4" t="s">
        <v>658</v>
      </c>
    </row>
    <row r="62" customFormat="false" ht="21.75" hidden="false" customHeight="true" outlineLevel="0" collapsed="false">
      <c r="B62" s="6" t="s">
        <v>62</v>
      </c>
      <c r="C62" s="6" t="s">
        <v>22</v>
      </c>
      <c r="D62" s="6" t="s">
        <v>659</v>
      </c>
      <c r="E62" s="10" t="n">
        <v>2</v>
      </c>
      <c r="F62" s="6" t="s">
        <v>26</v>
      </c>
      <c r="G62" s="7" t="s">
        <v>660</v>
      </c>
      <c r="H62" s="7" t="s">
        <v>661</v>
      </c>
      <c r="I62" s="7" t="s">
        <v>662</v>
      </c>
      <c r="J62" s="7" t="s">
        <v>663</v>
      </c>
      <c r="K62" s="7" t="s">
        <v>664</v>
      </c>
      <c r="L62" s="7" t="s">
        <v>389</v>
      </c>
      <c r="M62" s="7" t="s">
        <v>665</v>
      </c>
      <c r="N62" s="7" t="s">
        <v>236</v>
      </c>
      <c r="O62" s="6" t="s">
        <v>666</v>
      </c>
    </row>
    <row r="63" customFormat="false" ht="21.75" hidden="false" customHeight="true" outlineLevel="0" collapsed="false">
      <c r="B63" s="4" t="s">
        <v>62</v>
      </c>
      <c r="C63" s="4" t="s">
        <v>22</v>
      </c>
      <c r="D63" s="4" t="s">
        <v>667</v>
      </c>
      <c r="E63" s="9" t="n">
        <v>1</v>
      </c>
      <c r="F63" s="4" t="s">
        <v>24</v>
      </c>
      <c r="G63" s="5" t="s">
        <v>668</v>
      </c>
      <c r="H63" s="5" t="s">
        <v>669</v>
      </c>
      <c r="I63" s="5" t="s">
        <v>670</v>
      </c>
      <c r="J63" s="5" t="s">
        <v>671</v>
      </c>
      <c r="K63" s="5" t="s">
        <v>672</v>
      </c>
      <c r="L63" s="5" t="s">
        <v>244</v>
      </c>
      <c r="M63" s="5" t="s">
        <v>673</v>
      </c>
      <c r="N63" s="5" t="s">
        <v>236</v>
      </c>
      <c r="O63" s="4" t="s">
        <v>674</v>
      </c>
    </row>
    <row r="64" customFormat="false" ht="21.75" hidden="false" customHeight="true" outlineLevel="0" collapsed="false">
      <c r="B64" s="6" t="s">
        <v>62</v>
      </c>
      <c r="C64" s="6" t="s">
        <v>22</v>
      </c>
      <c r="D64" s="6" t="s">
        <v>675</v>
      </c>
      <c r="E64" s="10" t="n">
        <v>3</v>
      </c>
      <c r="F64" s="6" t="s">
        <v>28</v>
      </c>
      <c r="G64" s="7" t="s">
        <v>676</v>
      </c>
      <c r="H64" s="7" t="s">
        <v>677</v>
      </c>
      <c r="I64" s="7" t="s">
        <v>678</v>
      </c>
      <c r="J64" s="7" t="s">
        <v>679</v>
      </c>
      <c r="K64" s="7" t="s">
        <v>680</v>
      </c>
      <c r="L64" s="7" t="s">
        <v>389</v>
      </c>
      <c r="M64" s="7" t="s">
        <v>681</v>
      </c>
      <c r="N64" s="7" t="s">
        <v>236</v>
      </c>
      <c r="O64" s="6" t="s">
        <v>682</v>
      </c>
    </row>
    <row r="65" customFormat="false" ht="21.75" hidden="false" customHeight="true" outlineLevel="0" collapsed="false">
      <c r="B65" s="4" t="s">
        <v>68</v>
      </c>
      <c r="C65" s="4" t="s">
        <v>22</v>
      </c>
      <c r="D65" s="4" t="s">
        <v>683</v>
      </c>
      <c r="E65" s="9" t="n">
        <v>2</v>
      </c>
      <c r="F65" s="4" t="s">
        <v>26</v>
      </c>
      <c r="G65" s="5" t="s">
        <v>684</v>
      </c>
      <c r="H65" s="5" t="s">
        <v>685</v>
      </c>
      <c r="I65" s="5" t="s">
        <v>686</v>
      </c>
      <c r="J65" s="5" t="s">
        <v>687</v>
      </c>
      <c r="K65" s="5" t="s">
        <v>688</v>
      </c>
      <c r="L65" s="5" t="s">
        <v>389</v>
      </c>
      <c r="M65" s="5" t="s">
        <v>689</v>
      </c>
      <c r="N65" s="5" t="s">
        <v>236</v>
      </c>
      <c r="O65" s="4" t="s">
        <v>690</v>
      </c>
    </row>
    <row r="66" customFormat="false" ht="21.75" hidden="false" customHeight="true" outlineLevel="0" collapsed="false">
      <c r="B66" s="6" t="s">
        <v>68</v>
      </c>
      <c r="C66" s="6" t="s">
        <v>22</v>
      </c>
      <c r="D66" s="6" t="s">
        <v>691</v>
      </c>
      <c r="E66" s="10" t="n">
        <v>0</v>
      </c>
      <c r="F66" s="6" t="s">
        <v>22</v>
      </c>
      <c r="G66" s="7" t="s">
        <v>692</v>
      </c>
      <c r="H66" s="7" t="s">
        <v>693</v>
      </c>
      <c r="I66" s="7" t="s">
        <v>694</v>
      </c>
      <c r="J66" s="7" t="s">
        <v>695</v>
      </c>
      <c r="K66" s="7" t="s">
        <v>696</v>
      </c>
      <c r="L66" s="7" t="s">
        <v>244</v>
      </c>
      <c r="M66" s="7"/>
      <c r="N66" s="7" t="s">
        <v>236</v>
      </c>
      <c r="O66" s="6" t="s">
        <v>697</v>
      </c>
    </row>
    <row r="67" customFormat="false" ht="21.75" hidden="false" customHeight="true" outlineLevel="0" collapsed="false">
      <c r="B67" s="4" t="s">
        <v>68</v>
      </c>
      <c r="C67" s="4" t="s">
        <v>22</v>
      </c>
      <c r="D67" s="4" t="s">
        <v>698</v>
      </c>
      <c r="E67" s="9" t="n">
        <v>0</v>
      </c>
      <c r="F67" s="4" t="s">
        <v>22</v>
      </c>
      <c r="G67" s="5" t="s">
        <v>699</v>
      </c>
      <c r="H67" s="5" t="s">
        <v>700</v>
      </c>
      <c r="I67" s="5" t="s">
        <v>701</v>
      </c>
      <c r="J67" s="5" t="s">
        <v>702</v>
      </c>
      <c r="K67" s="5" t="s">
        <v>703</v>
      </c>
      <c r="L67" s="5" t="s">
        <v>335</v>
      </c>
      <c r="M67" s="5"/>
      <c r="N67" s="5" t="s">
        <v>236</v>
      </c>
      <c r="O67" s="4" t="s">
        <v>704</v>
      </c>
    </row>
    <row r="68" customFormat="false" ht="21.75" hidden="false" customHeight="true" outlineLevel="0" collapsed="false">
      <c r="B68" s="6" t="s">
        <v>68</v>
      </c>
      <c r="C68" s="6" t="s">
        <v>22</v>
      </c>
      <c r="D68" s="6" t="s">
        <v>705</v>
      </c>
      <c r="E68" s="10" t="n">
        <v>0</v>
      </c>
      <c r="F68" s="6" t="s">
        <v>22</v>
      </c>
      <c r="G68" s="7" t="s">
        <v>706</v>
      </c>
      <c r="H68" s="7" t="s">
        <v>707</v>
      </c>
      <c r="I68" s="7" t="s">
        <v>708</v>
      </c>
      <c r="J68" s="7" t="s">
        <v>709</v>
      </c>
      <c r="K68" s="7" t="s">
        <v>710</v>
      </c>
      <c r="L68" s="7" t="s">
        <v>469</v>
      </c>
      <c r="M68" s="7" t="s">
        <v>711</v>
      </c>
      <c r="N68" s="7" t="s">
        <v>236</v>
      </c>
      <c r="O68" s="6" t="s">
        <v>712</v>
      </c>
    </row>
    <row r="69" customFormat="false" ht="21.75" hidden="false" customHeight="true" outlineLevel="0" collapsed="false">
      <c r="B69" s="4" t="s">
        <v>68</v>
      </c>
      <c r="C69" s="4" t="s">
        <v>22</v>
      </c>
      <c r="D69" s="4" t="s">
        <v>713</v>
      </c>
      <c r="E69" s="9" t="n">
        <v>0</v>
      </c>
      <c r="F69" s="4" t="s">
        <v>22</v>
      </c>
      <c r="G69" s="5" t="s">
        <v>714</v>
      </c>
      <c r="H69" s="5" t="s">
        <v>715</v>
      </c>
      <c r="I69" s="5" t="s">
        <v>639</v>
      </c>
      <c r="J69" s="5" t="s">
        <v>716</v>
      </c>
      <c r="K69" s="5"/>
      <c r="L69" s="5"/>
      <c r="M69" s="5"/>
      <c r="N69" s="5" t="s">
        <v>236</v>
      </c>
      <c r="O69" s="4" t="s">
        <v>717</v>
      </c>
    </row>
    <row r="70" customFormat="false" ht="21.75" hidden="false" customHeight="true" outlineLevel="0" collapsed="false">
      <c r="B70" s="6" t="s">
        <v>68</v>
      </c>
      <c r="C70" s="6" t="s">
        <v>22</v>
      </c>
      <c r="D70" s="6" t="s">
        <v>718</v>
      </c>
      <c r="E70" s="10" t="n">
        <v>4</v>
      </c>
      <c r="F70" s="6" t="s">
        <v>30</v>
      </c>
      <c r="G70" s="7" t="s">
        <v>719</v>
      </c>
      <c r="H70" s="7" t="s">
        <v>720</v>
      </c>
      <c r="I70" s="7" t="s">
        <v>721</v>
      </c>
      <c r="J70" s="7" t="s">
        <v>722</v>
      </c>
      <c r="K70" s="7" t="s">
        <v>723</v>
      </c>
      <c r="L70" s="7" t="s">
        <v>260</v>
      </c>
      <c r="M70" s="7" t="s">
        <v>724</v>
      </c>
      <c r="N70" s="7" t="s">
        <v>236</v>
      </c>
      <c r="O70" s="6" t="s">
        <v>725</v>
      </c>
    </row>
    <row r="71" customFormat="false" ht="21.75" hidden="false" customHeight="true" outlineLevel="0" collapsed="false">
      <c r="B71" s="4" t="s">
        <v>68</v>
      </c>
      <c r="C71" s="4" t="s">
        <v>22</v>
      </c>
      <c r="D71" s="4" t="s">
        <v>726</v>
      </c>
      <c r="E71" s="9" t="n">
        <v>1</v>
      </c>
      <c r="F71" s="4" t="s">
        <v>24</v>
      </c>
      <c r="G71" s="5" t="s">
        <v>727</v>
      </c>
      <c r="H71" s="5" t="s">
        <v>728</v>
      </c>
      <c r="I71" s="5" t="s">
        <v>729</v>
      </c>
      <c r="J71" s="5" t="s">
        <v>730</v>
      </c>
      <c r="K71" s="5" t="s">
        <v>731</v>
      </c>
      <c r="L71" s="5" t="s">
        <v>244</v>
      </c>
      <c r="M71" s="5" t="s">
        <v>732</v>
      </c>
      <c r="N71" s="5" t="s">
        <v>236</v>
      </c>
      <c r="O71" s="4" t="s">
        <v>733</v>
      </c>
    </row>
    <row r="72" customFormat="false" ht="21.75" hidden="false" customHeight="true" outlineLevel="0" collapsed="false">
      <c r="B72" s="6" t="s">
        <v>68</v>
      </c>
      <c r="C72" s="6" t="s">
        <v>22</v>
      </c>
      <c r="D72" s="6" t="s">
        <v>734</v>
      </c>
      <c r="E72" s="10" t="n">
        <v>1</v>
      </c>
      <c r="F72" s="6" t="s">
        <v>24</v>
      </c>
      <c r="G72" s="7" t="s">
        <v>735</v>
      </c>
      <c r="H72" s="7" t="s">
        <v>736</v>
      </c>
      <c r="I72" s="7" t="s">
        <v>737</v>
      </c>
      <c r="J72" s="7" t="s">
        <v>738</v>
      </c>
      <c r="K72" s="7" t="s">
        <v>739</v>
      </c>
      <c r="L72" s="7" t="s">
        <v>234</v>
      </c>
      <c r="M72" s="7"/>
      <c r="N72" s="7" t="s">
        <v>236</v>
      </c>
      <c r="O72" s="6" t="s">
        <v>740</v>
      </c>
    </row>
    <row r="73" customFormat="false" ht="21.75" hidden="false" customHeight="true" outlineLevel="0" collapsed="false">
      <c r="B73" s="4" t="s">
        <v>68</v>
      </c>
      <c r="C73" s="4" t="s">
        <v>22</v>
      </c>
      <c r="D73" s="4" t="s">
        <v>741</v>
      </c>
      <c r="E73" s="9" t="n">
        <v>1</v>
      </c>
      <c r="F73" s="4" t="s">
        <v>24</v>
      </c>
      <c r="G73" s="5" t="s">
        <v>742</v>
      </c>
      <c r="H73" s="5" t="s">
        <v>743</v>
      </c>
      <c r="I73" s="5" t="s">
        <v>744</v>
      </c>
      <c r="J73" s="5" t="s">
        <v>745</v>
      </c>
      <c r="K73" s="5" t="s">
        <v>746</v>
      </c>
      <c r="L73" s="5" t="s">
        <v>244</v>
      </c>
      <c r="M73" s="5" t="s">
        <v>747</v>
      </c>
      <c r="N73" s="5" t="s">
        <v>236</v>
      </c>
      <c r="O73" s="4" t="s">
        <v>748</v>
      </c>
    </row>
    <row r="74" customFormat="false" ht="21.75" hidden="false" customHeight="true" outlineLevel="0" collapsed="false">
      <c r="B74" s="6" t="s">
        <v>68</v>
      </c>
      <c r="C74" s="6" t="s">
        <v>22</v>
      </c>
      <c r="D74" s="6" t="s">
        <v>749</v>
      </c>
      <c r="E74" s="10" t="n">
        <v>2</v>
      </c>
      <c r="F74" s="6" t="s">
        <v>26</v>
      </c>
      <c r="G74" s="7" t="s">
        <v>750</v>
      </c>
      <c r="H74" s="7" t="s">
        <v>751</v>
      </c>
      <c r="I74" s="7" t="s">
        <v>752</v>
      </c>
      <c r="J74" s="7" t="s">
        <v>753</v>
      </c>
      <c r="K74" s="7" t="s">
        <v>754</v>
      </c>
      <c r="L74" s="7" t="s">
        <v>389</v>
      </c>
      <c r="M74" s="7" t="s">
        <v>755</v>
      </c>
      <c r="N74" s="7" t="s">
        <v>236</v>
      </c>
      <c r="O74" s="6" t="s">
        <v>756</v>
      </c>
    </row>
    <row r="75" customFormat="false" ht="21.75" hidden="false" customHeight="true" outlineLevel="0" collapsed="false">
      <c r="B75" s="4" t="s">
        <v>68</v>
      </c>
      <c r="C75" s="4" t="s">
        <v>22</v>
      </c>
      <c r="D75" s="4" t="s">
        <v>757</v>
      </c>
      <c r="E75" s="9" t="n">
        <v>3</v>
      </c>
      <c r="F75" s="4" t="s">
        <v>28</v>
      </c>
      <c r="G75" s="5" t="s">
        <v>758</v>
      </c>
      <c r="H75" s="5" t="s">
        <v>759</v>
      </c>
      <c r="I75" s="5" t="s">
        <v>760</v>
      </c>
      <c r="J75" s="5" t="s">
        <v>761</v>
      </c>
      <c r="K75" s="5" t="s">
        <v>762</v>
      </c>
      <c r="L75" s="5" t="s">
        <v>234</v>
      </c>
      <c r="M75" s="5"/>
      <c r="N75" s="5" t="s">
        <v>236</v>
      </c>
      <c r="O75" s="4" t="s">
        <v>763</v>
      </c>
    </row>
    <row r="76" customFormat="false" ht="21.75" hidden="false" customHeight="true" outlineLevel="0" collapsed="false">
      <c r="B76" s="6" t="s">
        <v>68</v>
      </c>
      <c r="C76" s="6" t="s">
        <v>22</v>
      </c>
      <c r="D76" s="6" t="s">
        <v>764</v>
      </c>
      <c r="E76" s="10" t="n">
        <v>3</v>
      </c>
      <c r="F76" s="6" t="s">
        <v>28</v>
      </c>
      <c r="G76" s="7" t="s">
        <v>765</v>
      </c>
      <c r="H76" s="7" t="s">
        <v>766</v>
      </c>
      <c r="I76" s="7" t="s">
        <v>767</v>
      </c>
      <c r="J76" s="7" t="s">
        <v>768</v>
      </c>
      <c r="K76" s="7" t="s">
        <v>769</v>
      </c>
      <c r="L76" s="7" t="s">
        <v>335</v>
      </c>
      <c r="M76" s="7" t="s">
        <v>770</v>
      </c>
      <c r="N76" s="7" t="s">
        <v>236</v>
      </c>
      <c r="O76" s="6" t="s">
        <v>771</v>
      </c>
    </row>
    <row r="77" customFormat="false" ht="21.75" hidden="false" customHeight="true" outlineLevel="0" collapsed="false">
      <c r="B77" s="4" t="s">
        <v>68</v>
      </c>
      <c r="C77" s="4" t="s">
        <v>22</v>
      </c>
      <c r="D77" s="4" t="s">
        <v>772</v>
      </c>
      <c r="E77" s="9" t="n">
        <v>2</v>
      </c>
      <c r="F77" s="4" t="s">
        <v>26</v>
      </c>
      <c r="G77" s="5" t="s">
        <v>773</v>
      </c>
      <c r="H77" s="5" t="s">
        <v>774</v>
      </c>
      <c r="I77" s="5" t="s">
        <v>775</v>
      </c>
      <c r="J77" s="5" t="s">
        <v>776</v>
      </c>
      <c r="K77" s="5" t="s">
        <v>777</v>
      </c>
      <c r="L77" s="5" t="s">
        <v>469</v>
      </c>
      <c r="M77" s="5" t="s">
        <v>778</v>
      </c>
      <c r="N77" s="5" t="s">
        <v>236</v>
      </c>
      <c r="O77" s="4" t="s">
        <v>779</v>
      </c>
    </row>
    <row r="78" customFormat="false" ht="21.75" hidden="false" customHeight="true" outlineLevel="0" collapsed="false">
      <c r="B78" s="6" t="s">
        <v>68</v>
      </c>
      <c r="C78" s="6" t="s">
        <v>22</v>
      </c>
      <c r="D78" s="6" t="s">
        <v>780</v>
      </c>
      <c r="E78" s="10" t="n">
        <v>3</v>
      </c>
      <c r="F78" s="6" t="s">
        <v>28</v>
      </c>
      <c r="G78" s="7" t="s">
        <v>781</v>
      </c>
      <c r="H78" s="7" t="s">
        <v>782</v>
      </c>
      <c r="I78" s="7" t="s">
        <v>783</v>
      </c>
      <c r="J78" s="7" t="s">
        <v>784</v>
      </c>
      <c r="K78" s="7" t="s">
        <v>785</v>
      </c>
      <c r="L78" s="7" t="s">
        <v>234</v>
      </c>
      <c r="M78" s="7"/>
      <c r="N78" s="7" t="s">
        <v>236</v>
      </c>
      <c r="O78" s="6" t="s">
        <v>786</v>
      </c>
    </row>
    <row r="79" customFormat="false" ht="21.75" hidden="false" customHeight="true" outlineLevel="0" collapsed="false">
      <c r="B79" s="4" t="s">
        <v>68</v>
      </c>
      <c r="C79" s="4" t="s">
        <v>22</v>
      </c>
      <c r="D79" s="4" t="s">
        <v>787</v>
      </c>
      <c r="E79" s="9" t="n">
        <v>4</v>
      </c>
      <c r="F79" s="4" t="s">
        <v>30</v>
      </c>
      <c r="G79" s="5" t="s">
        <v>788</v>
      </c>
      <c r="H79" s="5" t="s">
        <v>789</v>
      </c>
      <c r="I79" s="5" t="s">
        <v>790</v>
      </c>
      <c r="J79" s="5" t="s">
        <v>791</v>
      </c>
      <c r="K79" s="5" t="s">
        <v>792</v>
      </c>
      <c r="L79" s="5" t="s">
        <v>234</v>
      </c>
      <c r="M79" s="5"/>
      <c r="N79" s="5" t="s">
        <v>236</v>
      </c>
      <c r="O79" s="4" t="s">
        <v>793</v>
      </c>
    </row>
    <row r="80" customFormat="false" ht="21.75" hidden="false" customHeight="true" outlineLevel="0" collapsed="false">
      <c r="B80" s="6" t="s">
        <v>68</v>
      </c>
      <c r="C80" s="6" t="s">
        <v>22</v>
      </c>
      <c r="D80" s="6" t="s">
        <v>794</v>
      </c>
      <c r="E80" s="10" t="n">
        <v>4</v>
      </c>
      <c r="F80" s="6" t="s">
        <v>30</v>
      </c>
      <c r="G80" s="7" t="s">
        <v>795</v>
      </c>
      <c r="H80" s="7" t="s">
        <v>796</v>
      </c>
      <c r="I80" s="7" t="s">
        <v>797</v>
      </c>
      <c r="J80" s="7" t="s">
        <v>798</v>
      </c>
      <c r="K80" s="7" t="s">
        <v>799</v>
      </c>
      <c r="L80" s="7" t="s">
        <v>234</v>
      </c>
      <c r="M80" s="7" t="s">
        <v>800</v>
      </c>
      <c r="N80" s="7" t="s">
        <v>236</v>
      </c>
      <c r="O80" s="6" t="s">
        <v>801</v>
      </c>
    </row>
    <row r="81" customFormat="false" ht="21.75" hidden="false" customHeight="true" outlineLevel="0" collapsed="false">
      <c r="B81" s="4" t="s">
        <v>68</v>
      </c>
      <c r="C81" s="4" t="s">
        <v>22</v>
      </c>
      <c r="D81" s="4" t="s">
        <v>802</v>
      </c>
      <c r="E81" s="9" t="n">
        <v>1</v>
      </c>
      <c r="F81" s="4" t="s">
        <v>24</v>
      </c>
      <c r="G81" s="5" t="s">
        <v>803</v>
      </c>
      <c r="H81" s="5" t="s">
        <v>804</v>
      </c>
      <c r="I81" s="5" t="s">
        <v>805</v>
      </c>
      <c r="J81" s="5" t="s">
        <v>806</v>
      </c>
      <c r="K81" s="5" t="s">
        <v>807</v>
      </c>
      <c r="L81" s="5" t="s">
        <v>234</v>
      </c>
      <c r="M81" s="5" t="s">
        <v>808</v>
      </c>
      <c r="N81" s="5" t="s">
        <v>236</v>
      </c>
      <c r="O81" s="4" t="s">
        <v>809</v>
      </c>
    </row>
    <row r="82" customFormat="false" ht="21.75" hidden="false" customHeight="true" outlineLevel="0" collapsed="false">
      <c r="B82" s="6" t="s">
        <v>68</v>
      </c>
      <c r="C82" s="6" t="s">
        <v>22</v>
      </c>
      <c r="D82" s="6" t="s">
        <v>810</v>
      </c>
      <c r="E82" s="10" t="n">
        <v>2</v>
      </c>
      <c r="F82" s="6" t="s">
        <v>26</v>
      </c>
      <c r="G82" s="7" t="s">
        <v>811</v>
      </c>
      <c r="H82" s="7" t="s">
        <v>812</v>
      </c>
      <c r="I82" s="7" t="s">
        <v>813</v>
      </c>
      <c r="J82" s="7" t="s">
        <v>814</v>
      </c>
      <c r="K82" s="7" t="s">
        <v>815</v>
      </c>
      <c r="L82" s="7" t="s">
        <v>389</v>
      </c>
      <c r="M82" s="7" t="s">
        <v>816</v>
      </c>
      <c r="N82" s="7" t="s">
        <v>236</v>
      </c>
      <c r="O82" s="6" t="s">
        <v>817</v>
      </c>
    </row>
    <row r="83" customFormat="false" ht="21.75" hidden="false" customHeight="true" outlineLevel="0" collapsed="false">
      <c r="B83" s="4" t="s">
        <v>68</v>
      </c>
      <c r="C83" s="4" t="s">
        <v>22</v>
      </c>
      <c r="D83" s="4" t="s">
        <v>818</v>
      </c>
      <c r="E83" s="9" t="n">
        <v>4</v>
      </c>
      <c r="F83" s="4" t="s">
        <v>30</v>
      </c>
      <c r="G83" s="5" t="s">
        <v>819</v>
      </c>
      <c r="H83" s="5" t="s">
        <v>820</v>
      </c>
      <c r="I83" s="5" t="s">
        <v>821</v>
      </c>
      <c r="J83" s="5" t="s">
        <v>491</v>
      </c>
      <c r="K83" s="5" t="s">
        <v>822</v>
      </c>
      <c r="L83" s="5" t="s">
        <v>335</v>
      </c>
      <c r="M83" s="5" t="s">
        <v>823</v>
      </c>
      <c r="N83" s="5" t="s">
        <v>236</v>
      </c>
      <c r="O83" s="4" t="s">
        <v>824</v>
      </c>
    </row>
    <row r="84" customFormat="false" ht="21.75" hidden="false" customHeight="true" outlineLevel="0" collapsed="false">
      <c r="B84" s="6" t="s">
        <v>68</v>
      </c>
      <c r="C84" s="6" t="s">
        <v>22</v>
      </c>
      <c r="D84" s="6" t="s">
        <v>825</v>
      </c>
      <c r="E84" s="10" t="n">
        <v>4</v>
      </c>
      <c r="F84" s="6" t="s">
        <v>30</v>
      </c>
      <c r="G84" s="7" t="s">
        <v>826</v>
      </c>
      <c r="H84" s="7" t="s">
        <v>827</v>
      </c>
      <c r="I84" s="7" t="s">
        <v>828</v>
      </c>
      <c r="J84" s="7" t="s">
        <v>829</v>
      </c>
      <c r="K84" s="7" t="s">
        <v>830</v>
      </c>
      <c r="L84" s="7" t="s">
        <v>234</v>
      </c>
      <c r="M84" s="7"/>
      <c r="N84" s="7" t="s">
        <v>236</v>
      </c>
      <c r="O84" s="6" t="s">
        <v>831</v>
      </c>
    </row>
    <row r="85" customFormat="false" ht="21.75" hidden="false" customHeight="true" outlineLevel="0" collapsed="false">
      <c r="B85" s="4" t="s">
        <v>68</v>
      </c>
      <c r="C85" s="4" t="s">
        <v>22</v>
      </c>
      <c r="D85" s="4" t="s">
        <v>832</v>
      </c>
      <c r="E85" s="9" t="n">
        <v>4</v>
      </c>
      <c r="F85" s="4" t="s">
        <v>30</v>
      </c>
      <c r="G85" s="5" t="s">
        <v>833</v>
      </c>
      <c r="H85" s="5" t="s">
        <v>834</v>
      </c>
      <c r="I85" s="5" t="s">
        <v>835</v>
      </c>
      <c r="J85" s="5" t="s">
        <v>836</v>
      </c>
      <c r="K85" s="5" t="s">
        <v>837</v>
      </c>
      <c r="L85" s="5" t="s">
        <v>335</v>
      </c>
      <c r="M85" s="5" t="s">
        <v>838</v>
      </c>
      <c r="N85" s="5" t="s">
        <v>236</v>
      </c>
      <c r="O85" s="4" t="s">
        <v>839</v>
      </c>
    </row>
    <row r="86" customFormat="false" ht="21.75" hidden="false" customHeight="true" outlineLevel="0" collapsed="false">
      <c r="B86" s="6" t="s">
        <v>74</v>
      </c>
      <c r="C86" s="6" t="s">
        <v>75</v>
      </c>
      <c r="D86" s="6" t="s">
        <v>840</v>
      </c>
      <c r="E86" s="10" t="n">
        <v>0</v>
      </c>
      <c r="F86" s="6" t="s">
        <v>22</v>
      </c>
      <c r="G86" s="7" t="s">
        <v>841</v>
      </c>
      <c r="H86" s="7" t="s">
        <v>842</v>
      </c>
      <c r="I86" s="7" t="s">
        <v>843</v>
      </c>
      <c r="J86" s="7" t="s">
        <v>844</v>
      </c>
      <c r="K86" s="7" t="s">
        <v>845</v>
      </c>
      <c r="L86" s="7" t="s">
        <v>244</v>
      </c>
      <c r="M86" s="7" t="s">
        <v>846</v>
      </c>
      <c r="N86" s="7" t="s">
        <v>236</v>
      </c>
      <c r="O86" s="6" t="s">
        <v>847</v>
      </c>
    </row>
    <row r="87" customFormat="false" ht="21.75" hidden="false" customHeight="true" outlineLevel="0" collapsed="false">
      <c r="B87" s="4" t="s">
        <v>74</v>
      </c>
      <c r="C87" s="4" t="s">
        <v>75</v>
      </c>
      <c r="D87" s="4" t="s">
        <v>848</v>
      </c>
      <c r="E87" s="9" t="n">
        <v>0</v>
      </c>
      <c r="F87" s="4" t="s">
        <v>22</v>
      </c>
      <c r="G87" s="5" t="s">
        <v>849</v>
      </c>
      <c r="H87" s="5" t="s">
        <v>850</v>
      </c>
      <c r="I87" s="5" t="s">
        <v>851</v>
      </c>
      <c r="J87" s="5" t="s">
        <v>852</v>
      </c>
      <c r="K87" s="5" t="s">
        <v>853</v>
      </c>
      <c r="L87" s="5" t="s">
        <v>244</v>
      </c>
      <c r="M87" s="5" t="s">
        <v>854</v>
      </c>
      <c r="N87" s="5" t="s">
        <v>236</v>
      </c>
      <c r="O87" s="4" t="s">
        <v>855</v>
      </c>
    </row>
    <row r="88" customFormat="false" ht="21.75" hidden="false" customHeight="true" outlineLevel="0" collapsed="false">
      <c r="B88" s="6" t="s">
        <v>74</v>
      </c>
      <c r="C88" s="6" t="s">
        <v>75</v>
      </c>
      <c r="D88" s="6" t="s">
        <v>856</v>
      </c>
      <c r="E88" s="10" t="n">
        <v>1</v>
      </c>
      <c r="F88" s="6" t="s">
        <v>24</v>
      </c>
      <c r="G88" s="7" t="s">
        <v>857</v>
      </c>
      <c r="H88" s="7" t="s">
        <v>858</v>
      </c>
      <c r="I88" s="7" t="s">
        <v>859</v>
      </c>
      <c r="J88" s="7" t="s">
        <v>860</v>
      </c>
      <c r="K88" s="7" t="s">
        <v>861</v>
      </c>
      <c r="L88" s="7" t="s">
        <v>244</v>
      </c>
      <c r="M88" s="7" t="s">
        <v>862</v>
      </c>
      <c r="N88" s="7" t="s">
        <v>236</v>
      </c>
      <c r="O88" s="6" t="s">
        <v>863</v>
      </c>
    </row>
    <row r="89" customFormat="false" ht="21.75" hidden="false" customHeight="true" outlineLevel="0" collapsed="false">
      <c r="B89" s="4" t="s">
        <v>74</v>
      </c>
      <c r="C89" s="4" t="s">
        <v>75</v>
      </c>
      <c r="D89" s="4" t="s">
        <v>864</v>
      </c>
      <c r="E89" s="9" t="n">
        <v>1</v>
      </c>
      <c r="F89" s="4" t="s">
        <v>24</v>
      </c>
      <c r="G89" s="5" t="s">
        <v>865</v>
      </c>
      <c r="H89" s="5" t="s">
        <v>866</v>
      </c>
      <c r="I89" s="5" t="s">
        <v>867</v>
      </c>
      <c r="J89" s="5" t="s">
        <v>868</v>
      </c>
      <c r="K89" s="5" t="s">
        <v>869</v>
      </c>
      <c r="L89" s="5" t="s">
        <v>244</v>
      </c>
      <c r="M89" s="5" t="s">
        <v>870</v>
      </c>
      <c r="N89" s="5" t="s">
        <v>236</v>
      </c>
      <c r="O89" s="4" t="s">
        <v>871</v>
      </c>
    </row>
    <row r="90" customFormat="false" ht="21.75" hidden="false" customHeight="true" outlineLevel="0" collapsed="false">
      <c r="B90" s="6" t="s">
        <v>74</v>
      </c>
      <c r="C90" s="6" t="s">
        <v>75</v>
      </c>
      <c r="D90" s="6" t="s">
        <v>872</v>
      </c>
      <c r="E90" s="10" t="n">
        <v>1</v>
      </c>
      <c r="F90" s="6" t="s">
        <v>24</v>
      </c>
      <c r="G90" s="7" t="s">
        <v>873</v>
      </c>
      <c r="H90" s="7" t="s">
        <v>874</v>
      </c>
      <c r="I90" s="7" t="s">
        <v>875</v>
      </c>
      <c r="J90" s="7" t="s">
        <v>876</v>
      </c>
      <c r="K90" s="7" t="s">
        <v>877</v>
      </c>
      <c r="L90" s="7" t="s">
        <v>244</v>
      </c>
      <c r="M90" s="7" t="s">
        <v>878</v>
      </c>
      <c r="N90" s="7" t="s">
        <v>236</v>
      </c>
      <c r="O90" s="6" t="s">
        <v>879</v>
      </c>
    </row>
    <row r="91" customFormat="false" ht="21.75" hidden="false" customHeight="true" outlineLevel="0" collapsed="false">
      <c r="B91" s="4" t="s">
        <v>74</v>
      </c>
      <c r="C91" s="4" t="s">
        <v>75</v>
      </c>
      <c r="D91" s="4" t="s">
        <v>880</v>
      </c>
      <c r="E91" s="9" t="n">
        <v>4</v>
      </c>
      <c r="F91" s="4" t="s">
        <v>30</v>
      </c>
      <c r="G91" s="5" t="s">
        <v>881</v>
      </c>
      <c r="H91" s="5" t="s">
        <v>882</v>
      </c>
      <c r="I91" s="5" t="s">
        <v>883</v>
      </c>
      <c r="J91" s="5" t="s">
        <v>884</v>
      </c>
      <c r="K91" s="5" t="s">
        <v>885</v>
      </c>
      <c r="L91" s="5" t="s">
        <v>335</v>
      </c>
      <c r="M91" s="5" t="s">
        <v>886</v>
      </c>
      <c r="N91" s="5" t="s">
        <v>236</v>
      </c>
      <c r="O91" s="4" t="s">
        <v>887</v>
      </c>
    </row>
    <row r="92" customFormat="false" ht="21.75" hidden="false" customHeight="true" outlineLevel="0" collapsed="false">
      <c r="B92" s="6" t="s">
        <v>74</v>
      </c>
      <c r="C92" s="6" t="s">
        <v>75</v>
      </c>
      <c r="D92" s="6" t="s">
        <v>888</v>
      </c>
      <c r="E92" s="10" t="n">
        <v>1</v>
      </c>
      <c r="F92" s="6" t="s">
        <v>24</v>
      </c>
      <c r="G92" s="7" t="s">
        <v>889</v>
      </c>
      <c r="H92" s="7" t="s">
        <v>890</v>
      </c>
      <c r="I92" s="7" t="s">
        <v>891</v>
      </c>
      <c r="J92" s="7" t="s">
        <v>892</v>
      </c>
      <c r="K92" s="7" t="s">
        <v>893</v>
      </c>
      <c r="L92" s="7" t="s">
        <v>234</v>
      </c>
      <c r="M92" s="7" t="s">
        <v>894</v>
      </c>
      <c r="N92" s="7" t="s">
        <v>236</v>
      </c>
      <c r="O92" s="6" t="s">
        <v>895</v>
      </c>
    </row>
    <row r="93" customFormat="false" ht="21.75" hidden="false" customHeight="true" outlineLevel="0" collapsed="false">
      <c r="B93" s="4" t="s">
        <v>74</v>
      </c>
      <c r="C93" s="4" t="s">
        <v>75</v>
      </c>
      <c r="D93" s="4" t="s">
        <v>896</v>
      </c>
      <c r="E93" s="9" t="n">
        <v>1</v>
      </c>
      <c r="F93" s="4" t="s">
        <v>24</v>
      </c>
      <c r="G93" s="5" t="s">
        <v>897</v>
      </c>
      <c r="H93" s="5" t="s">
        <v>898</v>
      </c>
      <c r="I93" s="5" t="s">
        <v>899</v>
      </c>
      <c r="J93" s="5" t="s">
        <v>892</v>
      </c>
      <c r="K93" s="5" t="s">
        <v>900</v>
      </c>
      <c r="L93" s="5" t="s">
        <v>234</v>
      </c>
      <c r="M93" s="5" t="s">
        <v>901</v>
      </c>
      <c r="N93" s="5" t="s">
        <v>236</v>
      </c>
      <c r="O93" s="4" t="s">
        <v>902</v>
      </c>
    </row>
    <row r="94" customFormat="false" ht="21.75" hidden="false" customHeight="true" outlineLevel="0" collapsed="false">
      <c r="B94" s="6" t="s">
        <v>74</v>
      </c>
      <c r="C94" s="6" t="s">
        <v>75</v>
      </c>
      <c r="D94" s="6" t="s">
        <v>903</v>
      </c>
      <c r="E94" s="10" t="n">
        <v>3</v>
      </c>
      <c r="F94" s="6" t="s">
        <v>28</v>
      </c>
      <c r="G94" s="7" t="s">
        <v>904</v>
      </c>
      <c r="H94" s="7" t="s">
        <v>905</v>
      </c>
      <c r="I94" s="7" t="s">
        <v>906</v>
      </c>
      <c r="J94" s="7" t="s">
        <v>907</v>
      </c>
      <c r="K94" s="7" t="s">
        <v>908</v>
      </c>
      <c r="L94" s="7" t="s">
        <v>244</v>
      </c>
      <c r="M94" s="7" t="s">
        <v>909</v>
      </c>
      <c r="N94" s="7" t="s">
        <v>236</v>
      </c>
      <c r="O94" s="6" t="s">
        <v>910</v>
      </c>
    </row>
    <row r="95" customFormat="false" ht="21.75" hidden="false" customHeight="true" outlineLevel="0" collapsed="false">
      <c r="B95" s="4" t="s">
        <v>74</v>
      </c>
      <c r="C95" s="4" t="s">
        <v>75</v>
      </c>
      <c r="D95" s="4" t="s">
        <v>911</v>
      </c>
      <c r="E95" s="9" t="n">
        <v>1</v>
      </c>
      <c r="F95" s="4" t="s">
        <v>24</v>
      </c>
      <c r="G95" s="5" t="s">
        <v>912</v>
      </c>
      <c r="H95" s="5" t="s">
        <v>913</v>
      </c>
      <c r="I95" s="5" t="s">
        <v>914</v>
      </c>
      <c r="J95" s="5" t="s">
        <v>915</v>
      </c>
      <c r="K95" s="5" t="s">
        <v>916</v>
      </c>
      <c r="L95" s="5" t="s">
        <v>234</v>
      </c>
      <c r="M95" s="5" t="s">
        <v>917</v>
      </c>
      <c r="N95" s="5" t="s">
        <v>236</v>
      </c>
      <c r="O95" s="4" t="s">
        <v>918</v>
      </c>
    </row>
    <row r="96" customFormat="false" ht="21.75" hidden="false" customHeight="true" outlineLevel="0" collapsed="false">
      <c r="B96" s="6" t="s">
        <v>74</v>
      </c>
      <c r="C96" s="6" t="s">
        <v>75</v>
      </c>
      <c r="D96" s="6" t="s">
        <v>919</v>
      </c>
      <c r="E96" s="10" t="n">
        <v>1</v>
      </c>
      <c r="F96" s="6" t="s">
        <v>24</v>
      </c>
      <c r="G96" s="7" t="s">
        <v>920</v>
      </c>
      <c r="H96" s="7" t="s">
        <v>921</v>
      </c>
      <c r="I96" s="7" t="s">
        <v>922</v>
      </c>
      <c r="J96" s="7" t="s">
        <v>923</v>
      </c>
      <c r="K96" s="7" t="s">
        <v>924</v>
      </c>
      <c r="L96" s="7" t="s">
        <v>244</v>
      </c>
      <c r="M96" s="7" t="s">
        <v>925</v>
      </c>
      <c r="N96" s="7" t="s">
        <v>236</v>
      </c>
      <c r="O96" s="6" t="s">
        <v>926</v>
      </c>
    </row>
    <row r="97" customFormat="false" ht="21.75" hidden="false" customHeight="true" outlineLevel="0" collapsed="false">
      <c r="B97" s="4" t="s">
        <v>74</v>
      </c>
      <c r="C97" s="4" t="s">
        <v>75</v>
      </c>
      <c r="D97" s="4" t="s">
        <v>927</v>
      </c>
      <c r="E97" s="9" t="n">
        <v>2</v>
      </c>
      <c r="F97" s="4" t="s">
        <v>26</v>
      </c>
      <c r="G97" s="5" t="s">
        <v>928</v>
      </c>
      <c r="H97" s="5" t="s">
        <v>929</v>
      </c>
      <c r="I97" s="5" t="s">
        <v>930</v>
      </c>
      <c r="J97" s="5" t="s">
        <v>931</v>
      </c>
      <c r="K97" s="5" t="s">
        <v>932</v>
      </c>
      <c r="L97" s="5" t="s">
        <v>389</v>
      </c>
      <c r="M97" s="5" t="s">
        <v>933</v>
      </c>
      <c r="N97" s="5" t="s">
        <v>236</v>
      </c>
      <c r="O97" s="4" t="s">
        <v>934</v>
      </c>
    </row>
    <row r="98" customFormat="false" ht="21.75" hidden="false" customHeight="true" outlineLevel="0" collapsed="false">
      <c r="B98" s="6" t="s">
        <v>74</v>
      </c>
      <c r="C98" s="6" t="s">
        <v>75</v>
      </c>
      <c r="D98" s="6" t="s">
        <v>935</v>
      </c>
      <c r="E98" s="10" t="n">
        <v>1</v>
      </c>
      <c r="F98" s="6" t="s">
        <v>24</v>
      </c>
      <c r="G98" s="7" t="s">
        <v>936</v>
      </c>
      <c r="H98" s="7" t="s">
        <v>937</v>
      </c>
      <c r="I98" s="7" t="s">
        <v>938</v>
      </c>
      <c r="J98" s="7" t="s">
        <v>939</v>
      </c>
      <c r="K98" s="7" t="s">
        <v>940</v>
      </c>
      <c r="L98" s="7" t="s">
        <v>244</v>
      </c>
      <c r="M98" s="7" t="s">
        <v>941</v>
      </c>
      <c r="N98" s="7" t="s">
        <v>236</v>
      </c>
      <c r="O98" s="6" t="s">
        <v>942</v>
      </c>
    </row>
    <row r="99" customFormat="false" ht="21.75" hidden="false" customHeight="true" outlineLevel="0" collapsed="false">
      <c r="B99" s="4" t="s">
        <v>74</v>
      </c>
      <c r="C99" s="4" t="s">
        <v>75</v>
      </c>
      <c r="D99" s="4" t="s">
        <v>943</v>
      </c>
      <c r="E99" s="9" t="n">
        <v>1</v>
      </c>
      <c r="F99" s="4" t="s">
        <v>24</v>
      </c>
      <c r="G99" s="5" t="s">
        <v>944</v>
      </c>
      <c r="H99" s="5" t="s">
        <v>945</v>
      </c>
      <c r="I99" s="5" t="s">
        <v>946</v>
      </c>
      <c r="J99" s="5" t="s">
        <v>947</v>
      </c>
      <c r="K99" s="5" t="s">
        <v>948</v>
      </c>
      <c r="L99" s="5" t="s">
        <v>244</v>
      </c>
      <c r="M99" s="5" t="s">
        <v>949</v>
      </c>
      <c r="N99" s="5" t="s">
        <v>236</v>
      </c>
      <c r="O99" s="4" t="s">
        <v>950</v>
      </c>
    </row>
    <row r="100" customFormat="false" ht="21.75" hidden="false" customHeight="true" outlineLevel="0" collapsed="false">
      <c r="B100" s="6" t="s">
        <v>74</v>
      </c>
      <c r="C100" s="6" t="s">
        <v>75</v>
      </c>
      <c r="D100" s="6" t="s">
        <v>951</v>
      </c>
      <c r="E100" s="10" t="n">
        <v>4</v>
      </c>
      <c r="F100" s="6" t="s">
        <v>30</v>
      </c>
      <c r="G100" s="7" t="s">
        <v>952</v>
      </c>
      <c r="H100" s="7" t="s">
        <v>953</v>
      </c>
      <c r="I100" s="7" t="s">
        <v>954</v>
      </c>
      <c r="J100" s="7" t="s">
        <v>955</v>
      </c>
      <c r="K100" s="7" t="s">
        <v>956</v>
      </c>
      <c r="L100" s="7" t="s">
        <v>260</v>
      </c>
      <c r="M100" s="7" t="s">
        <v>957</v>
      </c>
      <c r="N100" s="7" t="s">
        <v>236</v>
      </c>
      <c r="O100" s="6" t="s">
        <v>958</v>
      </c>
    </row>
    <row r="101" customFormat="false" ht="21.75" hidden="false" customHeight="true" outlineLevel="0" collapsed="false">
      <c r="B101" s="4" t="s">
        <v>74</v>
      </c>
      <c r="C101" s="4" t="s">
        <v>75</v>
      </c>
      <c r="D101" s="4" t="s">
        <v>959</v>
      </c>
      <c r="E101" s="9" t="n">
        <v>2</v>
      </c>
      <c r="F101" s="4" t="s">
        <v>26</v>
      </c>
      <c r="G101" s="5" t="s">
        <v>960</v>
      </c>
      <c r="H101" s="5" t="s">
        <v>961</v>
      </c>
      <c r="I101" s="5" t="s">
        <v>962</v>
      </c>
      <c r="J101" s="5" t="s">
        <v>963</v>
      </c>
      <c r="K101" s="5" t="s">
        <v>964</v>
      </c>
      <c r="L101" s="5" t="s">
        <v>389</v>
      </c>
      <c r="M101" s="5" t="s">
        <v>965</v>
      </c>
      <c r="N101" s="5" t="s">
        <v>236</v>
      </c>
      <c r="O101" s="4" t="s">
        <v>966</v>
      </c>
    </row>
    <row r="102" customFormat="false" ht="21.75" hidden="false" customHeight="true" outlineLevel="0" collapsed="false">
      <c r="B102" s="6" t="s">
        <v>74</v>
      </c>
      <c r="C102" s="6" t="s">
        <v>75</v>
      </c>
      <c r="D102" s="6" t="s">
        <v>967</v>
      </c>
      <c r="E102" s="10" t="n">
        <v>3</v>
      </c>
      <c r="F102" s="6" t="s">
        <v>28</v>
      </c>
      <c r="G102" s="7" t="s">
        <v>968</v>
      </c>
      <c r="H102" s="7" t="s">
        <v>969</v>
      </c>
      <c r="I102" s="7" t="s">
        <v>970</v>
      </c>
      <c r="J102" s="7" t="s">
        <v>971</v>
      </c>
      <c r="K102" s="7" t="s">
        <v>972</v>
      </c>
      <c r="L102" s="7" t="s">
        <v>335</v>
      </c>
      <c r="M102" s="7" t="s">
        <v>973</v>
      </c>
      <c r="N102" s="7" t="s">
        <v>236</v>
      </c>
      <c r="O102" s="6" t="s">
        <v>974</v>
      </c>
    </row>
    <row r="103" customFormat="false" ht="21.75" hidden="false" customHeight="true" outlineLevel="0" collapsed="false">
      <c r="B103" s="4" t="s">
        <v>74</v>
      </c>
      <c r="C103" s="4" t="s">
        <v>75</v>
      </c>
      <c r="D103" s="4" t="s">
        <v>975</v>
      </c>
      <c r="E103" s="9" t="n">
        <v>3</v>
      </c>
      <c r="F103" s="4" t="s">
        <v>28</v>
      </c>
      <c r="G103" s="5" t="s">
        <v>976</v>
      </c>
      <c r="H103" s="5" t="s">
        <v>977</v>
      </c>
      <c r="I103" s="5" t="s">
        <v>978</v>
      </c>
      <c r="J103" s="5" t="s">
        <v>979</v>
      </c>
      <c r="K103" s="5" t="s">
        <v>980</v>
      </c>
      <c r="L103" s="5" t="s">
        <v>244</v>
      </c>
      <c r="M103" s="5" t="s">
        <v>981</v>
      </c>
      <c r="N103" s="5" t="s">
        <v>236</v>
      </c>
      <c r="O103" s="4" t="s">
        <v>982</v>
      </c>
    </row>
    <row r="104" customFormat="false" ht="21.75" hidden="false" customHeight="true" outlineLevel="0" collapsed="false">
      <c r="B104" s="6" t="s">
        <v>74</v>
      </c>
      <c r="C104" s="6" t="s">
        <v>75</v>
      </c>
      <c r="D104" s="6" t="s">
        <v>983</v>
      </c>
      <c r="E104" s="10" t="n">
        <v>3</v>
      </c>
      <c r="F104" s="6" t="s">
        <v>28</v>
      </c>
      <c r="G104" s="7" t="s">
        <v>984</v>
      </c>
      <c r="H104" s="7" t="s">
        <v>985</v>
      </c>
      <c r="I104" s="7" t="s">
        <v>986</v>
      </c>
      <c r="J104" s="7" t="s">
        <v>987</v>
      </c>
      <c r="K104" s="7" t="s">
        <v>988</v>
      </c>
      <c r="L104" s="7" t="s">
        <v>389</v>
      </c>
      <c r="M104" s="7" t="s">
        <v>989</v>
      </c>
      <c r="N104" s="7" t="s">
        <v>236</v>
      </c>
      <c r="O104" s="6" t="s">
        <v>990</v>
      </c>
    </row>
    <row r="105" customFormat="false" ht="21.75" hidden="false" customHeight="true" outlineLevel="0" collapsed="false">
      <c r="B105" s="4" t="s">
        <v>74</v>
      </c>
      <c r="C105" s="4" t="s">
        <v>75</v>
      </c>
      <c r="D105" s="4" t="s">
        <v>991</v>
      </c>
      <c r="E105" s="9" t="n">
        <v>2</v>
      </c>
      <c r="F105" s="4" t="s">
        <v>26</v>
      </c>
      <c r="G105" s="5" t="s">
        <v>992</v>
      </c>
      <c r="H105" s="5" t="s">
        <v>993</v>
      </c>
      <c r="I105" s="5" t="s">
        <v>994</v>
      </c>
      <c r="J105" s="5" t="s">
        <v>995</v>
      </c>
      <c r="K105" s="5" t="s">
        <v>996</v>
      </c>
      <c r="L105" s="5" t="s">
        <v>244</v>
      </c>
      <c r="M105" s="5" t="s">
        <v>997</v>
      </c>
      <c r="N105" s="5" t="s">
        <v>236</v>
      </c>
      <c r="O105" s="4" t="s">
        <v>998</v>
      </c>
    </row>
    <row r="106" customFormat="false" ht="21.75" hidden="false" customHeight="true" outlineLevel="0" collapsed="false">
      <c r="B106" s="6" t="s">
        <v>74</v>
      </c>
      <c r="C106" s="6" t="s">
        <v>75</v>
      </c>
      <c r="D106" s="6" t="s">
        <v>999</v>
      </c>
      <c r="E106" s="10" t="n">
        <v>2</v>
      </c>
      <c r="F106" s="6" t="s">
        <v>26</v>
      </c>
      <c r="G106" s="7" t="s">
        <v>1000</v>
      </c>
      <c r="H106" s="7" t="s">
        <v>1001</v>
      </c>
      <c r="I106" s="7" t="s">
        <v>1002</v>
      </c>
      <c r="J106" s="7" t="s">
        <v>1003</v>
      </c>
      <c r="K106" s="7" t="s">
        <v>1004</v>
      </c>
      <c r="L106" s="7" t="s">
        <v>291</v>
      </c>
      <c r="M106" s="7" t="s">
        <v>1005</v>
      </c>
      <c r="N106" s="7" t="s">
        <v>236</v>
      </c>
      <c r="O106" s="6" t="s">
        <v>1006</v>
      </c>
    </row>
    <row r="107" customFormat="false" ht="21.75" hidden="false" customHeight="true" outlineLevel="0" collapsed="false">
      <c r="B107" s="4" t="s">
        <v>74</v>
      </c>
      <c r="C107" s="4" t="s">
        <v>75</v>
      </c>
      <c r="D107" s="4" t="s">
        <v>1007</v>
      </c>
      <c r="E107" s="9" t="n">
        <v>2</v>
      </c>
      <c r="F107" s="4" t="s">
        <v>26</v>
      </c>
      <c r="G107" s="5" t="s">
        <v>1008</v>
      </c>
      <c r="H107" s="5" t="s">
        <v>1009</v>
      </c>
      <c r="I107" s="5" t="s">
        <v>1010</v>
      </c>
      <c r="J107" s="5" t="s">
        <v>1011</v>
      </c>
      <c r="K107" s="5" t="s">
        <v>1012</v>
      </c>
      <c r="L107" s="5" t="s">
        <v>389</v>
      </c>
      <c r="M107" s="5" t="s">
        <v>1013</v>
      </c>
      <c r="N107" s="5" t="s">
        <v>236</v>
      </c>
      <c r="O107" s="4" t="s">
        <v>1014</v>
      </c>
    </row>
    <row r="108" customFormat="false" ht="21.75" hidden="false" customHeight="true" outlineLevel="0" collapsed="false">
      <c r="B108" s="6" t="s">
        <v>74</v>
      </c>
      <c r="C108" s="6" t="s">
        <v>75</v>
      </c>
      <c r="D108" s="6" t="s">
        <v>1015</v>
      </c>
      <c r="E108" s="10" t="n">
        <v>3</v>
      </c>
      <c r="F108" s="6" t="s">
        <v>28</v>
      </c>
      <c r="G108" s="7" t="s">
        <v>1016</v>
      </c>
      <c r="H108" s="7" t="s">
        <v>1017</v>
      </c>
      <c r="I108" s="7" t="s">
        <v>1018</v>
      </c>
      <c r="J108" s="7" t="s">
        <v>1019</v>
      </c>
      <c r="K108" s="7" t="s">
        <v>1020</v>
      </c>
      <c r="L108" s="7" t="s">
        <v>260</v>
      </c>
      <c r="M108" s="7" t="s">
        <v>1021</v>
      </c>
      <c r="N108" s="7" t="s">
        <v>236</v>
      </c>
      <c r="O108" s="6" t="s">
        <v>1022</v>
      </c>
    </row>
    <row r="109" customFormat="false" ht="21.75" hidden="false" customHeight="true" outlineLevel="0" collapsed="false">
      <c r="B109" s="4" t="s">
        <v>74</v>
      </c>
      <c r="C109" s="4" t="s">
        <v>75</v>
      </c>
      <c r="D109" s="4" t="s">
        <v>1023</v>
      </c>
      <c r="E109" s="9" t="n">
        <v>3</v>
      </c>
      <c r="F109" s="4" t="s">
        <v>28</v>
      </c>
      <c r="G109" s="5" t="s">
        <v>1024</v>
      </c>
      <c r="H109" s="5" t="s">
        <v>1025</v>
      </c>
      <c r="I109" s="5" t="s">
        <v>1026</v>
      </c>
      <c r="J109" s="5" t="s">
        <v>1027</v>
      </c>
      <c r="K109" s="5" t="s">
        <v>1028</v>
      </c>
      <c r="L109" s="5" t="s">
        <v>389</v>
      </c>
      <c r="M109" s="5" t="s">
        <v>1029</v>
      </c>
      <c r="N109" s="5" t="s">
        <v>236</v>
      </c>
      <c r="O109" s="4" t="s">
        <v>1030</v>
      </c>
    </row>
    <row r="110" customFormat="false" ht="21.75" hidden="false" customHeight="true" outlineLevel="0" collapsed="false">
      <c r="B110" s="6" t="s">
        <v>74</v>
      </c>
      <c r="C110" s="6" t="s">
        <v>75</v>
      </c>
      <c r="D110" s="6" t="s">
        <v>1031</v>
      </c>
      <c r="E110" s="10" t="n">
        <v>1</v>
      </c>
      <c r="F110" s="6" t="s">
        <v>24</v>
      </c>
      <c r="G110" s="7" t="s">
        <v>1032</v>
      </c>
      <c r="H110" s="7" t="s">
        <v>1033</v>
      </c>
      <c r="I110" s="7" t="s">
        <v>1034</v>
      </c>
      <c r="J110" s="7" t="s">
        <v>1035</v>
      </c>
      <c r="K110" s="7" t="s">
        <v>1036</v>
      </c>
      <c r="L110" s="7" t="s">
        <v>260</v>
      </c>
      <c r="M110" s="7" t="s">
        <v>1037</v>
      </c>
      <c r="N110" s="7" t="s">
        <v>236</v>
      </c>
      <c r="O110" s="6" t="s">
        <v>1038</v>
      </c>
    </row>
    <row r="111" customFormat="false" ht="21.75" hidden="false" customHeight="true" outlineLevel="0" collapsed="false">
      <c r="B111" s="4" t="s">
        <v>74</v>
      </c>
      <c r="C111" s="4" t="s">
        <v>75</v>
      </c>
      <c r="D111" s="4" t="s">
        <v>1039</v>
      </c>
      <c r="E111" s="9" t="n">
        <v>4</v>
      </c>
      <c r="F111" s="4" t="s">
        <v>30</v>
      </c>
      <c r="G111" s="5" t="s">
        <v>1040</v>
      </c>
      <c r="H111" s="5" t="s">
        <v>1041</v>
      </c>
      <c r="I111" s="5" t="s">
        <v>1042</v>
      </c>
      <c r="J111" s="5" t="s">
        <v>1043</v>
      </c>
      <c r="K111" s="5" t="s">
        <v>1044</v>
      </c>
      <c r="L111" s="5" t="s">
        <v>234</v>
      </c>
      <c r="M111" s="5" t="s">
        <v>1045</v>
      </c>
      <c r="N111" s="5" t="s">
        <v>236</v>
      </c>
      <c r="O111" s="4" t="s">
        <v>1046</v>
      </c>
    </row>
    <row r="112" customFormat="false" ht="21.75" hidden="false" customHeight="true" outlineLevel="0" collapsed="false">
      <c r="B112" s="6" t="s">
        <v>81</v>
      </c>
      <c r="C112" s="6" t="s">
        <v>75</v>
      </c>
      <c r="D112" s="6" t="s">
        <v>1047</v>
      </c>
      <c r="E112" s="10" t="n">
        <v>0</v>
      </c>
      <c r="F112" s="6" t="s">
        <v>22</v>
      </c>
      <c r="G112" s="7" t="s">
        <v>1048</v>
      </c>
      <c r="H112" s="7" t="s">
        <v>1049</v>
      </c>
      <c r="I112" s="7" t="s">
        <v>1050</v>
      </c>
      <c r="J112" s="7" t="s">
        <v>1051</v>
      </c>
      <c r="K112" s="7" t="s">
        <v>1052</v>
      </c>
      <c r="L112" s="7" t="s">
        <v>244</v>
      </c>
      <c r="M112" s="7" t="s">
        <v>1053</v>
      </c>
      <c r="N112" s="7" t="s">
        <v>236</v>
      </c>
      <c r="O112" s="6" t="s">
        <v>1054</v>
      </c>
    </row>
    <row r="113" customFormat="false" ht="21.75" hidden="false" customHeight="true" outlineLevel="0" collapsed="false">
      <c r="B113" s="4" t="s">
        <v>81</v>
      </c>
      <c r="C113" s="4" t="s">
        <v>75</v>
      </c>
      <c r="D113" s="4" t="s">
        <v>1055</v>
      </c>
      <c r="E113" s="9" t="n">
        <v>0</v>
      </c>
      <c r="F113" s="4" t="s">
        <v>22</v>
      </c>
      <c r="G113" s="5" t="s">
        <v>1056</v>
      </c>
      <c r="H113" s="5" t="s">
        <v>1057</v>
      </c>
      <c r="I113" s="5" t="s">
        <v>1058</v>
      </c>
      <c r="J113" s="5" t="s">
        <v>1059</v>
      </c>
      <c r="K113" s="5" t="s">
        <v>1060</v>
      </c>
      <c r="L113" s="5" t="s">
        <v>244</v>
      </c>
      <c r="M113" s="5" t="s">
        <v>1061</v>
      </c>
      <c r="N113" s="5" t="s">
        <v>236</v>
      </c>
      <c r="O113" s="4" t="s">
        <v>1062</v>
      </c>
    </row>
    <row r="114" customFormat="false" ht="21.75" hidden="false" customHeight="true" outlineLevel="0" collapsed="false">
      <c r="B114" s="6" t="s">
        <v>81</v>
      </c>
      <c r="C114" s="6" t="s">
        <v>75</v>
      </c>
      <c r="D114" s="6" t="s">
        <v>1063</v>
      </c>
      <c r="E114" s="10" t="n">
        <v>1</v>
      </c>
      <c r="F114" s="6" t="s">
        <v>24</v>
      </c>
      <c r="G114" s="7" t="s">
        <v>1064</v>
      </c>
      <c r="H114" s="7" t="s">
        <v>1065</v>
      </c>
      <c r="I114" s="7" t="s">
        <v>1066</v>
      </c>
      <c r="J114" s="7" t="s">
        <v>1067</v>
      </c>
      <c r="K114" s="7" t="s">
        <v>1068</v>
      </c>
      <c r="L114" s="7" t="s">
        <v>234</v>
      </c>
      <c r="M114" s="7" t="s">
        <v>1069</v>
      </c>
      <c r="N114" s="7" t="s">
        <v>236</v>
      </c>
      <c r="O114" s="6" t="s">
        <v>1070</v>
      </c>
    </row>
    <row r="115" customFormat="false" ht="21.75" hidden="false" customHeight="true" outlineLevel="0" collapsed="false">
      <c r="B115" s="4" t="s">
        <v>81</v>
      </c>
      <c r="C115" s="4" t="s">
        <v>75</v>
      </c>
      <c r="D115" s="4" t="s">
        <v>1071</v>
      </c>
      <c r="E115" s="9" t="n">
        <v>1</v>
      </c>
      <c r="F115" s="4" t="s">
        <v>24</v>
      </c>
      <c r="G115" s="5" t="s">
        <v>1072</v>
      </c>
      <c r="H115" s="5" t="s">
        <v>1073</v>
      </c>
      <c r="I115" s="5" t="s">
        <v>1074</v>
      </c>
      <c r="J115" s="5" t="s">
        <v>1075</v>
      </c>
      <c r="K115" s="5" t="s">
        <v>1076</v>
      </c>
      <c r="L115" s="5" t="s">
        <v>244</v>
      </c>
      <c r="M115" s="5" t="s">
        <v>1077</v>
      </c>
      <c r="N115" s="5" t="s">
        <v>236</v>
      </c>
      <c r="O115" s="4" t="s">
        <v>1078</v>
      </c>
    </row>
    <row r="116" customFormat="false" ht="21.75" hidden="false" customHeight="true" outlineLevel="0" collapsed="false">
      <c r="B116" s="6" t="s">
        <v>81</v>
      </c>
      <c r="C116" s="6" t="s">
        <v>75</v>
      </c>
      <c r="D116" s="6" t="s">
        <v>1079</v>
      </c>
      <c r="E116" s="10" t="n">
        <v>1</v>
      </c>
      <c r="F116" s="6" t="s">
        <v>24</v>
      </c>
      <c r="G116" s="7" t="s">
        <v>1080</v>
      </c>
      <c r="H116" s="7" t="s">
        <v>1081</v>
      </c>
      <c r="I116" s="7" t="s">
        <v>1074</v>
      </c>
      <c r="J116" s="7" t="s">
        <v>1082</v>
      </c>
      <c r="K116" s="7" t="s">
        <v>1083</v>
      </c>
      <c r="L116" s="7" t="s">
        <v>234</v>
      </c>
      <c r="M116" s="7" t="s">
        <v>1084</v>
      </c>
      <c r="N116" s="7" t="s">
        <v>236</v>
      </c>
      <c r="O116" s="6" t="s">
        <v>1085</v>
      </c>
    </row>
    <row r="117" customFormat="false" ht="21.75" hidden="false" customHeight="true" outlineLevel="0" collapsed="false">
      <c r="B117" s="4" t="s">
        <v>81</v>
      </c>
      <c r="C117" s="4" t="s">
        <v>75</v>
      </c>
      <c r="D117" s="4" t="s">
        <v>1086</v>
      </c>
      <c r="E117" s="9" t="n">
        <v>1</v>
      </c>
      <c r="F117" s="4" t="s">
        <v>24</v>
      </c>
      <c r="G117" s="5" t="s">
        <v>1087</v>
      </c>
      <c r="H117" s="5" t="s">
        <v>1088</v>
      </c>
      <c r="I117" s="5" t="s">
        <v>1089</v>
      </c>
      <c r="J117" s="5" t="s">
        <v>1090</v>
      </c>
      <c r="K117" s="5" t="s">
        <v>1091</v>
      </c>
      <c r="L117" s="5" t="s">
        <v>234</v>
      </c>
      <c r="M117" s="5" t="s">
        <v>1092</v>
      </c>
      <c r="N117" s="5" t="s">
        <v>236</v>
      </c>
      <c r="O117" s="4" t="s">
        <v>1093</v>
      </c>
    </row>
    <row r="118" customFormat="false" ht="21.75" hidden="false" customHeight="true" outlineLevel="0" collapsed="false">
      <c r="B118" s="6" t="s">
        <v>81</v>
      </c>
      <c r="C118" s="6" t="s">
        <v>75</v>
      </c>
      <c r="D118" s="6" t="s">
        <v>1094</v>
      </c>
      <c r="E118" s="10" t="n">
        <v>2</v>
      </c>
      <c r="F118" s="6" t="s">
        <v>26</v>
      </c>
      <c r="G118" s="7" t="s">
        <v>1095</v>
      </c>
      <c r="H118" s="7" t="s">
        <v>1096</v>
      </c>
      <c r="I118" s="7" t="s">
        <v>1097</v>
      </c>
      <c r="J118" s="7" t="s">
        <v>1098</v>
      </c>
      <c r="K118" s="7" t="s">
        <v>1099</v>
      </c>
      <c r="L118" s="7" t="s">
        <v>260</v>
      </c>
      <c r="M118" s="7" t="s">
        <v>1100</v>
      </c>
      <c r="N118" s="7" t="s">
        <v>236</v>
      </c>
      <c r="O118" s="6" t="s">
        <v>1101</v>
      </c>
    </row>
    <row r="119" customFormat="false" ht="21.75" hidden="false" customHeight="true" outlineLevel="0" collapsed="false">
      <c r="B119" s="4" t="s">
        <v>81</v>
      </c>
      <c r="C119" s="4" t="s">
        <v>75</v>
      </c>
      <c r="D119" s="4" t="s">
        <v>1102</v>
      </c>
      <c r="E119" s="9" t="n">
        <v>2</v>
      </c>
      <c r="F119" s="4" t="s">
        <v>26</v>
      </c>
      <c r="G119" s="5" t="s">
        <v>1103</v>
      </c>
      <c r="H119" s="5" t="s">
        <v>1104</v>
      </c>
      <c r="I119" s="5" t="s">
        <v>1105</v>
      </c>
      <c r="J119" s="5" t="s">
        <v>1106</v>
      </c>
      <c r="K119" s="5" t="s">
        <v>1107</v>
      </c>
      <c r="L119" s="5" t="s">
        <v>244</v>
      </c>
      <c r="M119" s="5" t="s">
        <v>1108</v>
      </c>
      <c r="N119" s="5" t="s">
        <v>236</v>
      </c>
      <c r="O119" s="4" t="s">
        <v>1109</v>
      </c>
    </row>
    <row r="120" customFormat="false" ht="21.75" hidden="false" customHeight="true" outlineLevel="0" collapsed="false">
      <c r="B120" s="6" t="s">
        <v>81</v>
      </c>
      <c r="C120" s="6" t="s">
        <v>75</v>
      </c>
      <c r="D120" s="6" t="s">
        <v>1110</v>
      </c>
      <c r="E120" s="10" t="n">
        <v>4</v>
      </c>
      <c r="F120" s="6" t="s">
        <v>30</v>
      </c>
      <c r="G120" s="7" t="s">
        <v>1111</v>
      </c>
      <c r="H120" s="7" t="s">
        <v>1112</v>
      </c>
      <c r="I120" s="7" t="s">
        <v>1113</v>
      </c>
      <c r="J120" s="7" t="s">
        <v>1114</v>
      </c>
      <c r="K120" s="7" t="s">
        <v>1115</v>
      </c>
      <c r="L120" s="7" t="s">
        <v>335</v>
      </c>
      <c r="M120" s="7" t="s">
        <v>1116</v>
      </c>
      <c r="N120" s="7" t="s">
        <v>236</v>
      </c>
      <c r="O120" s="6" t="s">
        <v>1117</v>
      </c>
    </row>
    <row r="121" customFormat="false" ht="21.75" hidden="false" customHeight="true" outlineLevel="0" collapsed="false">
      <c r="B121" s="4" t="s">
        <v>81</v>
      </c>
      <c r="C121" s="4" t="s">
        <v>75</v>
      </c>
      <c r="D121" s="4" t="s">
        <v>1118</v>
      </c>
      <c r="E121" s="9" t="n">
        <v>1</v>
      </c>
      <c r="F121" s="4" t="s">
        <v>24</v>
      </c>
      <c r="G121" s="5" t="s">
        <v>1119</v>
      </c>
      <c r="H121" s="5" t="s">
        <v>1120</v>
      </c>
      <c r="I121" s="5" t="s">
        <v>1121</v>
      </c>
      <c r="J121" s="5" t="s">
        <v>1122</v>
      </c>
      <c r="K121" s="5" t="s">
        <v>1123</v>
      </c>
      <c r="L121" s="5" t="s">
        <v>260</v>
      </c>
      <c r="M121" s="5" t="s">
        <v>1124</v>
      </c>
      <c r="N121" s="5" t="s">
        <v>236</v>
      </c>
      <c r="O121" s="4" t="s">
        <v>1125</v>
      </c>
    </row>
    <row r="122" customFormat="false" ht="21.75" hidden="false" customHeight="true" outlineLevel="0" collapsed="false">
      <c r="B122" s="6" t="s">
        <v>81</v>
      </c>
      <c r="C122" s="6" t="s">
        <v>75</v>
      </c>
      <c r="D122" s="6" t="s">
        <v>1126</v>
      </c>
      <c r="E122" s="10" t="n">
        <v>4</v>
      </c>
      <c r="F122" s="6" t="s">
        <v>30</v>
      </c>
      <c r="G122" s="7" t="s">
        <v>1127</v>
      </c>
      <c r="H122" s="7" t="s">
        <v>1128</v>
      </c>
      <c r="I122" s="7" t="s">
        <v>1129</v>
      </c>
      <c r="J122" s="7" t="s">
        <v>1130</v>
      </c>
      <c r="K122" s="7" t="s">
        <v>1131</v>
      </c>
      <c r="L122" s="7" t="s">
        <v>234</v>
      </c>
      <c r="M122" s="7" t="s">
        <v>1132</v>
      </c>
      <c r="N122" s="7" t="s">
        <v>236</v>
      </c>
      <c r="O122" s="6" t="s">
        <v>1133</v>
      </c>
    </row>
    <row r="123" customFormat="false" ht="21.75" hidden="false" customHeight="true" outlineLevel="0" collapsed="false">
      <c r="B123" s="4" t="s">
        <v>81</v>
      </c>
      <c r="C123" s="4" t="s">
        <v>75</v>
      </c>
      <c r="D123" s="4" t="s">
        <v>1134</v>
      </c>
      <c r="E123" s="9" t="n">
        <v>1</v>
      </c>
      <c r="F123" s="4" t="s">
        <v>24</v>
      </c>
      <c r="G123" s="5" t="s">
        <v>1135</v>
      </c>
      <c r="H123" s="5" t="s">
        <v>1136</v>
      </c>
      <c r="I123" s="5" t="s">
        <v>1137</v>
      </c>
      <c r="J123" s="5" t="s">
        <v>1138</v>
      </c>
      <c r="K123" s="5" t="s">
        <v>1139</v>
      </c>
      <c r="L123" s="5" t="s">
        <v>389</v>
      </c>
      <c r="M123" s="5" t="s">
        <v>1140</v>
      </c>
      <c r="N123" s="5" t="s">
        <v>236</v>
      </c>
      <c r="O123" s="4" t="s">
        <v>1141</v>
      </c>
    </row>
    <row r="124" customFormat="false" ht="21.75" hidden="false" customHeight="true" outlineLevel="0" collapsed="false">
      <c r="B124" s="6" t="s">
        <v>81</v>
      </c>
      <c r="C124" s="6" t="s">
        <v>75</v>
      </c>
      <c r="D124" s="6" t="s">
        <v>1142</v>
      </c>
      <c r="E124" s="10" t="n">
        <v>4</v>
      </c>
      <c r="F124" s="6" t="s">
        <v>30</v>
      </c>
      <c r="G124" s="7" t="s">
        <v>1143</v>
      </c>
      <c r="H124" s="7" t="s">
        <v>1144</v>
      </c>
      <c r="I124" s="7" t="s">
        <v>1145</v>
      </c>
      <c r="J124" s="7" t="s">
        <v>1146</v>
      </c>
      <c r="K124" s="7" t="s">
        <v>1147</v>
      </c>
      <c r="L124" s="7" t="s">
        <v>234</v>
      </c>
      <c r="M124" s="7" t="s">
        <v>1148</v>
      </c>
      <c r="N124" s="7" t="s">
        <v>236</v>
      </c>
      <c r="O124" s="6" t="s">
        <v>1149</v>
      </c>
    </row>
    <row r="125" customFormat="false" ht="21.75" hidden="false" customHeight="true" outlineLevel="0" collapsed="false">
      <c r="B125" s="4" t="s">
        <v>81</v>
      </c>
      <c r="C125" s="4" t="s">
        <v>75</v>
      </c>
      <c r="D125" s="4" t="s">
        <v>1150</v>
      </c>
      <c r="E125" s="9" t="n">
        <v>2</v>
      </c>
      <c r="F125" s="4" t="s">
        <v>26</v>
      </c>
      <c r="G125" s="5" t="s">
        <v>1151</v>
      </c>
      <c r="H125" s="5" t="s">
        <v>1152</v>
      </c>
      <c r="I125" s="5" t="s">
        <v>1153</v>
      </c>
      <c r="J125" s="5" t="s">
        <v>1154</v>
      </c>
      <c r="K125" s="5" t="s">
        <v>1155</v>
      </c>
      <c r="L125" s="5" t="s">
        <v>469</v>
      </c>
      <c r="M125" s="5" t="s">
        <v>1156</v>
      </c>
      <c r="N125" s="5" t="s">
        <v>236</v>
      </c>
      <c r="O125" s="4" t="s">
        <v>1157</v>
      </c>
    </row>
    <row r="126" customFormat="false" ht="21.75" hidden="false" customHeight="true" outlineLevel="0" collapsed="false">
      <c r="B126" s="6" t="s">
        <v>81</v>
      </c>
      <c r="C126" s="6" t="s">
        <v>75</v>
      </c>
      <c r="D126" s="6" t="s">
        <v>1158</v>
      </c>
      <c r="E126" s="10" t="n">
        <v>1</v>
      </c>
      <c r="F126" s="6" t="s">
        <v>24</v>
      </c>
      <c r="G126" s="7" t="s">
        <v>1159</v>
      </c>
      <c r="H126" s="7" t="s">
        <v>1160</v>
      </c>
      <c r="I126" s="7" t="s">
        <v>1161</v>
      </c>
      <c r="J126" s="7" t="s">
        <v>1162</v>
      </c>
      <c r="K126" s="7" t="s">
        <v>1163</v>
      </c>
      <c r="L126" s="7" t="s">
        <v>244</v>
      </c>
      <c r="M126" s="7" t="s">
        <v>1164</v>
      </c>
      <c r="N126" s="7" t="s">
        <v>236</v>
      </c>
      <c r="O126" s="6" t="s">
        <v>1165</v>
      </c>
    </row>
    <row r="127" customFormat="false" ht="21.75" hidden="false" customHeight="true" outlineLevel="0" collapsed="false">
      <c r="B127" s="4" t="s">
        <v>81</v>
      </c>
      <c r="C127" s="4" t="s">
        <v>75</v>
      </c>
      <c r="D127" s="4" t="s">
        <v>1166</v>
      </c>
      <c r="E127" s="9" t="n">
        <v>2</v>
      </c>
      <c r="F127" s="4" t="s">
        <v>26</v>
      </c>
      <c r="G127" s="5" t="s">
        <v>1167</v>
      </c>
      <c r="H127" s="5" t="s">
        <v>1168</v>
      </c>
      <c r="I127" s="5" t="s">
        <v>1169</v>
      </c>
      <c r="J127" s="5" t="s">
        <v>1170</v>
      </c>
      <c r="K127" s="5" t="s">
        <v>1171</v>
      </c>
      <c r="L127" s="5" t="s">
        <v>469</v>
      </c>
      <c r="M127" s="5" t="s">
        <v>1172</v>
      </c>
      <c r="N127" s="5" t="s">
        <v>236</v>
      </c>
      <c r="O127" s="4" t="s">
        <v>1173</v>
      </c>
    </row>
    <row r="128" customFormat="false" ht="21.75" hidden="false" customHeight="true" outlineLevel="0" collapsed="false">
      <c r="B128" s="6" t="s">
        <v>81</v>
      </c>
      <c r="C128" s="6" t="s">
        <v>75</v>
      </c>
      <c r="D128" s="6" t="s">
        <v>1174</v>
      </c>
      <c r="E128" s="10" t="n">
        <v>4</v>
      </c>
      <c r="F128" s="6" t="s">
        <v>30</v>
      </c>
      <c r="G128" s="7" t="s">
        <v>1175</v>
      </c>
      <c r="H128" s="7" t="s">
        <v>1176</v>
      </c>
      <c r="I128" s="7" t="s">
        <v>1177</v>
      </c>
      <c r="J128" s="7" t="s">
        <v>1178</v>
      </c>
      <c r="K128" s="7" t="s">
        <v>1179</v>
      </c>
      <c r="L128" s="7" t="s">
        <v>234</v>
      </c>
      <c r="M128" s="7" t="s">
        <v>1180</v>
      </c>
      <c r="N128" s="7" t="s">
        <v>236</v>
      </c>
      <c r="O128" s="6" t="s">
        <v>1181</v>
      </c>
    </row>
    <row r="129" customFormat="false" ht="21.75" hidden="false" customHeight="true" outlineLevel="0" collapsed="false">
      <c r="B129" s="4" t="s">
        <v>81</v>
      </c>
      <c r="C129" s="4" t="s">
        <v>75</v>
      </c>
      <c r="D129" s="4" t="s">
        <v>1182</v>
      </c>
      <c r="E129" s="9" t="n">
        <v>2</v>
      </c>
      <c r="F129" s="4" t="s">
        <v>26</v>
      </c>
      <c r="G129" s="5" t="s">
        <v>1183</v>
      </c>
      <c r="H129" s="5" t="s">
        <v>1184</v>
      </c>
      <c r="I129" s="5" t="s">
        <v>1185</v>
      </c>
      <c r="J129" s="5" t="s">
        <v>1186</v>
      </c>
      <c r="K129" s="5" t="s">
        <v>1187</v>
      </c>
      <c r="L129" s="5" t="s">
        <v>389</v>
      </c>
      <c r="M129" s="5" t="s">
        <v>1188</v>
      </c>
      <c r="N129" s="5" t="s">
        <v>236</v>
      </c>
      <c r="O129" s="4" t="s">
        <v>1189</v>
      </c>
    </row>
    <row r="130" customFormat="false" ht="21.75" hidden="false" customHeight="true" outlineLevel="0" collapsed="false">
      <c r="B130" s="6" t="s">
        <v>81</v>
      </c>
      <c r="C130" s="6" t="s">
        <v>75</v>
      </c>
      <c r="D130" s="6" t="s">
        <v>1190</v>
      </c>
      <c r="E130" s="10" t="n">
        <v>2</v>
      </c>
      <c r="F130" s="6" t="s">
        <v>26</v>
      </c>
      <c r="G130" s="7" t="s">
        <v>1191</v>
      </c>
      <c r="H130" s="7" t="s">
        <v>1192</v>
      </c>
      <c r="I130" s="7" t="s">
        <v>1193</v>
      </c>
      <c r="J130" s="7" t="s">
        <v>1194</v>
      </c>
      <c r="K130" s="7" t="s">
        <v>1195</v>
      </c>
      <c r="L130" s="7" t="s">
        <v>469</v>
      </c>
      <c r="M130" s="7" t="s">
        <v>1196</v>
      </c>
      <c r="N130" s="7" t="s">
        <v>236</v>
      </c>
      <c r="O130" s="6" t="s">
        <v>1197</v>
      </c>
    </row>
    <row r="131" customFormat="false" ht="21.75" hidden="false" customHeight="true" outlineLevel="0" collapsed="false">
      <c r="B131" s="4" t="s">
        <v>81</v>
      </c>
      <c r="C131" s="4" t="s">
        <v>75</v>
      </c>
      <c r="D131" s="4" t="s">
        <v>1198</v>
      </c>
      <c r="E131" s="9" t="n">
        <v>4</v>
      </c>
      <c r="F131" s="4" t="s">
        <v>30</v>
      </c>
      <c r="G131" s="5" t="s">
        <v>1199</v>
      </c>
      <c r="H131" s="5" t="s">
        <v>1200</v>
      </c>
      <c r="I131" s="5" t="s">
        <v>1201</v>
      </c>
      <c r="J131" s="5" t="s">
        <v>1202</v>
      </c>
      <c r="K131" s="5" t="s">
        <v>1203</v>
      </c>
      <c r="L131" s="5" t="s">
        <v>234</v>
      </c>
      <c r="M131" s="5" t="s">
        <v>1204</v>
      </c>
      <c r="N131" s="5" t="s">
        <v>236</v>
      </c>
      <c r="O131" s="4" t="s">
        <v>1205</v>
      </c>
    </row>
    <row r="132" customFormat="false" ht="21.75" hidden="false" customHeight="true" outlineLevel="0" collapsed="false">
      <c r="B132" s="6" t="s">
        <v>81</v>
      </c>
      <c r="C132" s="6" t="s">
        <v>75</v>
      </c>
      <c r="D132" s="6" t="s">
        <v>1206</v>
      </c>
      <c r="E132" s="10" t="n">
        <v>2</v>
      </c>
      <c r="F132" s="6" t="s">
        <v>26</v>
      </c>
      <c r="G132" s="7" t="s">
        <v>1207</v>
      </c>
      <c r="H132" s="7" t="s">
        <v>1208</v>
      </c>
      <c r="I132" s="7" t="s">
        <v>1209</v>
      </c>
      <c r="J132" s="7" t="s">
        <v>1210</v>
      </c>
      <c r="K132" s="7" t="s">
        <v>1211</v>
      </c>
      <c r="L132" s="7" t="s">
        <v>234</v>
      </c>
      <c r="M132" s="7" t="s">
        <v>1212</v>
      </c>
      <c r="N132" s="7" t="s">
        <v>236</v>
      </c>
      <c r="O132" s="6" t="s">
        <v>1213</v>
      </c>
    </row>
    <row r="133" customFormat="false" ht="21.75" hidden="false" customHeight="true" outlineLevel="0" collapsed="false">
      <c r="B133" s="4" t="s">
        <v>81</v>
      </c>
      <c r="C133" s="4" t="s">
        <v>75</v>
      </c>
      <c r="D133" s="4" t="s">
        <v>1214</v>
      </c>
      <c r="E133" s="9" t="n">
        <v>1</v>
      </c>
      <c r="F133" s="4" t="s">
        <v>24</v>
      </c>
      <c r="G133" s="5" t="s">
        <v>1215</v>
      </c>
      <c r="H133" s="5" t="s">
        <v>1216</v>
      </c>
      <c r="I133" s="5" t="s">
        <v>1217</v>
      </c>
      <c r="J133" s="5" t="s">
        <v>1218</v>
      </c>
      <c r="K133" s="5" t="s">
        <v>1219</v>
      </c>
      <c r="L133" s="5" t="s">
        <v>469</v>
      </c>
      <c r="M133" s="5" t="s">
        <v>1220</v>
      </c>
      <c r="N133" s="5" t="s">
        <v>236</v>
      </c>
      <c r="O133" s="4" t="s">
        <v>1221</v>
      </c>
    </row>
    <row r="134" customFormat="false" ht="21.75" hidden="false" customHeight="true" outlineLevel="0" collapsed="false">
      <c r="B134" s="6" t="s">
        <v>81</v>
      </c>
      <c r="C134" s="6" t="s">
        <v>75</v>
      </c>
      <c r="D134" s="6" t="s">
        <v>1222</v>
      </c>
      <c r="E134" s="10" t="n">
        <v>3</v>
      </c>
      <c r="F134" s="6" t="s">
        <v>28</v>
      </c>
      <c r="G134" s="7" t="s">
        <v>1223</v>
      </c>
      <c r="H134" s="7" t="s">
        <v>1224</v>
      </c>
      <c r="I134" s="7" t="s">
        <v>1225</v>
      </c>
      <c r="J134" s="7" t="s">
        <v>1226</v>
      </c>
      <c r="K134" s="7" t="s">
        <v>1227</v>
      </c>
      <c r="L134" s="7" t="s">
        <v>389</v>
      </c>
      <c r="M134" s="7" t="s">
        <v>1228</v>
      </c>
      <c r="N134" s="7" t="s">
        <v>236</v>
      </c>
      <c r="O134" s="6" t="s">
        <v>1229</v>
      </c>
    </row>
    <row r="135" customFormat="false" ht="21.75" hidden="false" customHeight="true" outlineLevel="0" collapsed="false">
      <c r="B135" s="4" t="s">
        <v>81</v>
      </c>
      <c r="C135" s="4" t="s">
        <v>75</v>
      </c>
      <c r="D135" s="4" t="s">
        <v>1230</v>
      </c>
      <c r="E135" s="9" t="n">
        <v>3</v>
      </c>
      <c r="F135" s="4" t="s">
        <v>28</v>
      </c>
      <c r="G135" s="5" t="s">
        <v>1231</v>
      </c>
      <c r="H135" s="5" t="s">
        <v>1232</v>
      </c>
      <c r="I135" s="5" t="s">
        <v>1233</v>
      </c>
      <c r="J135" s="5" t="s">
        <v>1234</v>
      </c>
      <c r="K135" s="5" t="s">
        <v>1235</v>
      </c>
      <c r="L135" s="5" t="s">
        <v>234</v>
      </c>
      <c r="M135" s="5" t="s">
        <v>1236</v>
      </c>
      <c r="N135" s="5" t="s">
        <v>236</v>
      </c>
      <c r="O135" s="4" t="s">
        <v>1237</v>
      </c>
    </row>
    <row r="136" customFormat="false" ht="21.75" hidden="false" customHeight="true" outlineLevel="0" collapsed="false">
      <c r="B136" s="6" t="s">
        <v>87</v>
      </c>
      <c r="C136" s="6" t="s">
        <v>75</v>
      </c>
      <c r="D136" s="6" t="s">
        <v>1238</v>
      </c>
      <c r="E136" s="10" t="n">
        <v>0</v>
      </c>
      <c r="F136" s="6" t="s">
        <v>22</v>
      </c>
      <c r="G136" s="7" t="s">
        <v>1239</v>
      </c>
      <c r="H136" s="7" t="s">
        <v>1240</v>
      </c>
      <c r="I136" s="7" t="s">
        <v>1241</v>
      </c>
      <c r="J136" s="7" t="s">
        <v>1242</v>
      </c>
      <c r="K136" s="7"/>
      <c r="L136" s="7"/>
      <c r="M136" s="7" t="s">
        <v>1243</v>
      </c>
      <c r="N136" s="7" t="s">
        <v>236</v>
      </c>
      <c r="O136" s="6" t="s">
        <v>1244</v>
      </c>
    </row>
    <row r="137" customFormat="false" ht="21.75" hidden="false" customHeight="true" outlineLevel="0" collapsed="false">
      <c r="B137" s="4" t="s">
        <v>87</v>
      </c>
      <c r="C137" s="4" t="s">
        <v>75</v>
      </c>
      <c r="D137" s="4" t="s">
        <v>1245</v>
      </c>
      <c r="E137" s="9" t="n">
        <v>0</v>
      </c>
      <c r="F137" s="4" t="s">
        <v>22</v>
      </c>
      <c r="G137" s="5" t="s">
        <v>1246</v>
      </c>
      <c r="H137" s="5" t="s">
        <v>1247</v>
      </c>
      <c r="I137" s="5" t="s">
        <v>1248</v>
      </c>
      <c r="J137" s="5" t="s">
        <v>1249</v>
      </c>
      <c r="K137" s="5" t="s">
        <v>1250</v>
      </c>
      <c r="L137" s="5" t="s">
        <v>244</v>
      </c>
      <c r="M137" s="5" t="s">
        <v>1251</v>
      </c>
      <c r="N137" s="5" t="s">
        <v>236</v>
      </c>
      <c r="O137" s="4" t="s">
        <v>1252</v>
      </c>
    </row>
    <row r="138" customFormat="false" ht="21.75" hidden="false" customHeight="true" outlineLevel="0" collapsed="false">
      <c r="B138" s="6" t="s">
        <v>87</v>
      </c>
      <c r="C138" s="6" t="s">
        <v>75</v>
      </c>
      <c r="D138" s="6" t="s">
        <v>1253</v>
      </c>
      <c r="E138" s="10" t="n">
        <v>0</v>
      </c>
      <c r="F138" s="6" t="s">
        <v>22</v>
      </c>
      <c r="G138" s="7" t="s">
        <v>1254</v>
      </c>
      <c r="H138" s="7" t="s">
        <v>1255</v>
      </c>
      <c r="I138" s="7" t="s">
        <v>1256</v>
      </c>
      <c r="J138" s="7" t="s">
        <v>1257</v>
      </c>
      <c r="K138" s="7" t="s">
        <v>1258</v>
      </c>
      <c r="L138" s="7" t="s">
        <v>244</v>
      </c>
      <c r="M138" s="7" t="s">
        <v>1259</v>
      </c>
      <c r="N138" s="7" t="s">
        <v>236</v>
      </c>
      <c r="O138" s="6" t="s">
        <v>1260</v>
      </c>
    </row>
    <row r="139" customFormat="false" ht="21.75" hidden="false" customHeight="true" outlineLevel="0" collapsed="false">
      <c r="B139" s="4" t="s">
        <v>87</v>
      </c>
      <c r="C139" s="4" t="s">
        <v>75</v>
      </c>
      <c r="D139" s="4" t="s">
        <v>1261</v>
      </c>
      <c r="E139" s="9" t="n">
        <v>1</v>
      </c>
      <c r="F139" s="4" t="s">
        <v>24</v>
      </c>
      <c r="G139" s="5" t="s">
        <v>1262</v>
      </c>
      <c r="H139" s="5" t="s">
        <v>1263</v>
      </c>
      <c r="I139" s="5" t="s">
        <v>1264</v>
      </c>
      <c r="J139" s="5" t="s">
        <v>1265</v>
      </c>
      <c r="K139" s="5" t="s">
        <v>1266</v>
      </c>
      <c r="L139" s="5" t="s">
        <v>244</v>
      </c>
      <c r="M139" s="5" t="s">
        <v>1267</v>
      </c>
      <c r="N139" s="5" t="s">
        <v>236</v>
      </c>
      <c r="O139" s="4" t="s">
        <v>1268</v>
      </c>
    </row>
    <row r="140" customFormat="false" ht="21.75" hidden="false" customHeight="true" outlineLevel="0" collapsed="false">
      <c r="B140" s="6" t="s">
        <v>87</v>
      </c>
      <c r="C140" s="6" t="s">
        <v>75</v>
      </c>
      <c r="D140" s="6" t="s">
        <v>1269</v>
      </c>
      <c r="E140" s="10" t="n">
        <v>1</v>
      </c>
      <c r="F140" s="6" t="s">
        <v>24</v>
      </c>
      <c r="G140" s="7" t="s">
        <v>1270</v>
      </c>
      <c r="H140" s="7" t="s">
        <v>1271</v>
      </c>
      <c r="I140" s="7" t="s">
        <v>1264</v>
      </c>
      <c r="J140" s="7" t="s">
        <v>1272</v>
      </c>
      <c r="K140" s="7" t="s">
        <v>1273</v>
      </c>
      <c r="L140" s="7" t="s">
        <v>244</v>
      </c>
      <c r="M140" s="7" t="s">
        <v>1274</v>
      </c>
      <c r="N140" s="7" t="s">
        <v>236</v>
      </c>
      <c r="O140" s="6" t="s">
        <v>1275</v>
      </c>
    </row>
    <row r="141" customFormat="false" ht="21.75" hidden="false" customHeight="true" outlineLevel="0" collapsed="false">
      <c r="B141" s="4" t="s">
        <v>87</v>
      </c>
      <c r="C141" s="4" t="s">
        <v>75</v>
      </c>
      <c r="D141" s="4" t="s">
        <v>1276</v>
      </c>
      <c r="E141" s="9" t="n">
        <v>1</v>
      </c>
      <c r="F141" s="4" t="s">
        <v>24</v>
      </c>
      <c r="G141" s="5" t="s">
        <v>1277</v>
      </c>
      <c r="H141" s="5" t="s">
        <v>1278</v>
      </c>
      <c r="I141" s="5" t="s">
        <v>1279</v>
      </c>
      <c r="J141" s="5" t="s">
        <v>1280</v>
      </c>
      <c r="K141" s="5" t="s">
        <v>1281</v>
      </c>
      <c r="L141" s="5" t="s">
        <v>244</v>
      </c>
      <c r="M141" s="5" t="s">
        <v>1282</v>
      </c>
      <c r="N141" s="5" t="s">
        <v>236</v>
      </c>
      <c r="O141" s="4" t="s">
        <v>1283</v>
      </c>
    </row>
    <row r="142" customFormat="false" ht="21.75" hidden="false" customHeight="true" outlineLevel="0" collapsed="false">
      <c r="B142" s="6" t="s">
        <v>87</v>
      </c>
      <c r="C142" s="6" t="s">
        <v>75</v>
      </c>
      <c r="D142" s="6" t="s">
        <v>1284</v>
      </c>
      <c r="E142" s="10" t="n">
        <v>1</v>
      </c>
      <c r="F142" s="6" t="s">
        <v>24</v>
      </c>
      <c r="G142" s="7" t="s">
        <v>1285</v>
      </c>
      <c r="H142" s="7" t="s">
        <v>1286</v>
      </c>
      <c r="I142" s="7" t="s">
        <v>1287</v>
      </c>
      <c r="J142" s="7" t="s">
        <v>1288</v>
      </c>
      <c r="K142" s="7" t="s">
        <v>1289</v>
      </c>
      <c r="L142" s="7" t="s">
        <v>234</v>
      </c>
      <c r="M142" s="7" t="s">
        <v>1290</v>
      </c>
      <c r="N142" s="7" t="s">
        <v>236</v>
      </c>
      <c r="O142" s="6" t="s">
        <v>1291</v>
      </c>
    </row>
    <row r="143" customFormat="false" ht="21.75" hidden="false" customHeight="true" outlineLevel="0" collapsed="false">
      <c r="B143" s="4" t="s">
        <v>87</v>
      </c>
      <c r="C143" s="4" t="s">
        <v>75</v>
      </c>
      <c r="D143" s="4" t="s">
        <v>1292</v>
      </c>
      <c r="E143" s="9" t="n">
        <v>0</v>
      </c>
      <c r="F143" s="4" t="s">
        <v>22</v>
      </c>
      <c r="G143" s="5" t="s">
        <v>1293</v>
      </c>
      <c r="H143" s="5" t="s">
        <v>1294</v>
      </c>
      <c r="I143" s="5" t="s">
        <v>1295</v>
      </c>
      <c r="J143" s="5" t="s">
        <v>1296</v>
      </c>
      <c r="K143" s="5" t="s">
        <v>1297</v>
      </c>
      <c r="L143" s="5" t="s">
        <v>244</v>
      </c>
      <c r="M143" s="5"/>
      <c r="N143" s="5" t="s">
        <v>236</v>
      </c>
      <c r="O143" s="4" t="s">
        <v>1298</v>
      </c>
    </row>
    <row r="144" customFormat="false" ht="21.75" hidden="false" customHeight="true" outlineLevel="0" collapsed="false">
      <c r="B144" s="6" t="s">
        <v>87</v>
      </c>
      <c r="C144" s="6" t="s">
        <v>75</v>
      </c>
      <c r="D144" s="6" t="s">
        <v>1299</v>
      </c>
      <c r="E144" s="10" t="n">
        <v>4</v>
      </c>
      <c r="F144" s="6" t="s">
        <v>30</v>
      </c>
      <c r="G144" s="7" t="s">
        <v>1300</v>
      </c>
      <c r="H144" s="7" t="s">
        <v>1301</v>
      </c>
      <c r="I144" s="7" t="s">
        <v>1302</v>
      </c>
      <c r="J144" s="7" t="s">
        <v>1303</v>
      </c>
      <c r="K144" s="7" t="s">
        <v>1304</v>
      </c>
      <c r="L144" s="7" t="s">
        <v>335</v>
      </c>
      <c r="M144" s="7" t="s">
        <v>1305</v>
      </c>
      <c r="N144" s="7" t="s">
        <v>236</v>
      </c>
      <c r="O144" s="6" t="s">
        <v>1306</v>
      </c>
    </row>
    <row r="145" customFormat="false" ht="21.75" hidden="false" customHeight="true" outlineLevel="0" collapsed="false">
      <c r="B145" s="4" t="s">
        <v>87</v>
      </c>
      <c r="C145" s="4" t="s">
        <v>75</v>
      </c>
      <c r="D145" s="4" t="s">
        <v>1307</v>
      </c>
      <c r="E145" s="9" t="n">
        <v>3</v>
      </c>
      <c r="F145" s="4" t="s">
        <v>28</v>
      </c>
      <c r="G145" s="5" t="s">
        <v>1308</v>
      </c>
      <c r="H145" s="5" t="s">
        <v>1309</v>
      </c>
      <c r="I145" s="5" t="s">
        <v>1310</v>
      </c>
      <c r="J145" s="5" t="s">
        <v>1311</v>
      </c>
      <c r="K145" s="5" t="s">
        <v>1312</v>
      </c>
      <c r="L145" s="5" t="s">
        <v>234</v>
      </c>
      <c r="M145" s="5" t="s">
        <v>1313</v>
      </c>
      <c r="N145" s="5" t="s">
        <v>236</v>
      </c>
      <c r="O145" s="4" t="s">
        <v>1314</v>
      </c>
    </row>
    <row r="146" customFormat="false" ht="21.75" hidden="false" customHeight="true" outlineLevel="0" collapsed="false">
      <c r="B146" s="6" t="s">
        <v>87</v>
      </c>
      <c r="C146" s="6" t="s">
        <v>75</v>
      </c>
      <c r="D146" s="6" t="s">
        <v>1315</v>
      </c>
      <c r="E146" s="10" t="n">
        <v>1</v>
      </c>
      <c r="F146" s="6" t="s">
        <v>24</v>
      </c>
      <c r="G146" s="7" t="s">
        <v>1316</v>
      </c>
      <c r="H146" s="7" t="s">
        <v>1317</v>
      </c>
      <c r="I146" s="7" t="s">
        <v>1318</v>
      </c>
      <c r="J146" s="7" t="s">
        <v>1319</v>
      </c>
      <c r="K146" s="7" t="s">
        <v>1320</v>
      </c>
      <c r="L146" s="7" t="s">
        <v>234</v>
      </c>
      <c r="M146" s="7" t="s">
        <v>1321</v>
      </c>
      <c r="N146" s="7" t="s">
        <v>236</v>
      </c>
      <c r="O146" s="6" t="s">
        <v>1322</v>
      </c>
    </row>
    <row r="147" customFormat="false" ht="21.75" hidden="false" customHeight="true" outlineLevel="0" collapsed="false">
      <c r="B147" s="4" t="s">
        <v>87</v>
      </c>
      <c r="C147" s="4" t="s">
        <v>75</v>
      </c>
      <c r="D147" s="4" t="s">
        <v>1323</v>
      </c>
      <c r="E147" s="9" t="n">
        <v>1</v>
      </c>
      <c r="F147" s="4" t="s">
        <v>24</v>
      </c>
      <c r="G147" s="5" t="s">
        <v>1324</v>
      </c>
      <c r="H147" s="5" t="s">
        <v>1325</v>
      </c>
      <c r="I147" s="5" t="s">
        <v>1326</v>
      </c>
      <c r="J147" s="5" t="s">
        <v>1327</v>
      </c>
      <c r="K147" s="5"/>
      <c r="L147" s="5"/>
      <c r="M147" s="5" t="s">
        <v>1328</v>
      </c>
      <c r="N147" s="5" t="s">
        <v>236</v>
      </c>
      <c r="O147" s="4" t="s">
        <v>1329</v>
      </c>
    </row>
    <row r="148" customFormat="false" ht="21.75" hidden="false" customHeight="true" outlineLevel="0" collapsed="false">
      <c r="B148" s="6" t="s">
        <v>87</v>
      </c>
      <c r="C148" s="6" t="s">
        <v>75</v>
      </c>
      <c r="D148" s="6" t="s">
        <v>1330</v>
      </c>
      <c r="E148" s="10" t="n">
        <v>2</v>
      </c>
      <c r="F148" s="6" t="s">
        <v>26</v>
      </c>
      <c r="G148" s="7" t="s">
        <v>1331</v>
      </c>
      <c r="H148" s="7" t="s">
        <v>1332</v>
      </c>
      <c r="I148" s="7" t="s">
        <v>1333</v>
      </c>
      <c r="J148" s="7" t="s">
        <v>1334</v>
      </c>
      <c r="K148" s="7" t="s">
        <v>1335</v>
      </c>
      <c r="L148" s="7" t="s">
        <v>469</v>
      </c>
      <c r="M148" s="7" t="s">
        <v>1336</v>
      </c>
      <c r="N148" s="7" t="s">
        <v>236</v>
      </c>
      <c r="O148" s="6" t="s">
        <v>1337</v>
      </c>
    </row>
    <row r="149" customFormat="false" ht="21.75" hidden="false" customHeight="true" outlineLevel="0" collapsed="false">
      <c r="B149" s="4" t="s">
        <v>87</v>
      </c>
      <c r="C149" s="4" t="s">
        <v>75</v>
      </c>
      <c r="D149" s="4" t="s">
        <v>1338</v>
      </c>
      <c r="E149" s="9" t="n">
        <v>1</v>
      </c>
      <c r="F149" s="4" t="s">
        <v>24</v>
      </c>
      <c r="G149" s="5" t="s">
        <v>1339</v>
      </c>
      <c r="H149" s="5" t="s">
        <v>1340</v>
      </c>
      <c r="I149" s="5" t="s">
        <v>1341</v>
      </c>
      <c r="J149" s="5" t="s">
        <v>1342</v>
      </c>
      <c r="K149" s="5" t="s">
        <v>1343</v>
      </c>
      <c r="L149" s="5" t="s">
        <v>234</v>
      </c>
      <c r="M149" s="5" t="s">
        <v>1344</v>
      </c>
      <c r="N149" s="5" t="s">
        <v>236</v>
      </c>
      <c r="O149" s="4" t="s">
        <v>1345</v>
      </c>
    </row>
    <row r="150" customFormat="false" ht="21.75" hidden="false" customHeight="true" outlineLevel="0" collapsed="false">
      <c r="B150" s="6" t="s">
        <v>87</v>
      </c>
      <c r="C150" s="6" t="s">
        <v>75</v>
      </c>
      <c r="D150" s="6" t="s">
        <v>1346</v>
      </c>
      <c r="E150" s="10" t="n">
        <v>1</v>
      </c>
      <c r="F150" s="6" t="s">
        <v>24</v>
      </c>
      <c r="G150" s="7" t="s">
        <v>1347</v>
      </c>
      <c r="H150" s="7" t="s">
        <v>1348</v>
      </c>
      <c r="I150" s="7" t="s">
        <v>1349</v>
      </c>
      <c r="J150" s="7" t="s">
        <v>1350</v>
      </c>
      <c r="K150" s="7" t="s">
        <v>1351</v>
      </c>
      <c r="L150" s="7" t="s">
        <v>234</v>
      </c>
      <c r="M150" s="7" t="s">
        <v>1352</v>
      </c>
      <c r="N150" s="7" t="s">
        <v>236</v>
      </c>
      <c r="O150" s="6" t="s">
        <v>1353</v>
      </c>
    </row>
    <row r="151" customFormat="false" ht="21.75" hidden="false" customHeight="true" outlineLevel="0" collapsed="false">
      <c r="B151" s="4" t="s">
        <v>87</v>
      </c>
      <c r="C151" s="4" t="s">
        <v>75</v>
      </c>
      <c r="D151" s="4" t="s">
        <v>1354</v>
      </c>
      <c r="E151" s="9" t="n">
        <v>1</v>
      </c>
      <c r="F151" s="4" t="s">
        <v>24</v>
      </c>
      <c r="G151" s="5" t="s">
        <v>1355</v>
      </c>
      <c r="H151" s="5" t="s">
        <v>1356</v>
      </c>
      <c r="I151" s="5" t="s">
        <v>1357</v>
      </c>
      <c r="J151" s="5" t="s">
        <v>1358</v>
      </c>
      <c r="K151" s="5" t="s">
        <v>1359</v>
      </c>
      <c r="L151" s="5" t="s">
        <v>335</v>
      </c>
      <c r="M151" s="5" t="s">
        <v>1360</v>
      </c>
      <c r="N151" s="5" t="s">
        <v>236</v>
      </c>
      <c r="O151" s="4" t="s">
        <v>1361</v>
      </c>
    </row>
    <row r="152" customFormat="false" ht="21.75" hidden="false" customHeight="true" outlineLevel="0" collapsed="false">
      <c r="B152" s="6" t="s">
        <v>87</v>
      </c>
      <c r="C152" s="6" t="s">
        <v>75</v>
      </c>
      <c r="D152" s="6" t="s">
        <v>1362</v>
      </c>
      <c r="E152" s="10" t="n">
        <v>1</v>
      </c>
      <c r="F152" s="6" t="s">
        <v>24</v>
      </c>
      <c r="G152" s="7" t="s">
        <v>1363</v>
      </c>
      <c r="H152" s="7" t="s">
        <v>1364</v>
      </c>
      <c r="I152" s="7" t="s">
        <v>1365</v>
      </c>
      <c r="J152" s="7" t="s">
        <v>1366</v>
      </c>
      <c r="K152" s="7" t="s">
        <v>1367</v>
      </c>
      <c r="L152" s="7" t="s">
        <v>234</v>
      </c>
      <c r="M152" s="7" t="s">
        <v>1368</v>
      </c>
      <c r="N152" s="7" t="s">
        <v>236</v>
      </c>
      <c r="O152" s="6" t="s">
        <v>1369</v>
      </c>
    </row>
    <row r="153" customFormat="false" ht="21.75" hidden="false" customHeight="true" outlineLevel="0" collapsed="false">
      <c r="B153" s="4" t="s">
        <v>87</v>
      </c>
      <c r="C153" s="4" t="s">
        <v>75</v>
      </c>
      <c r="D153" s="4" t="s">
        <v>1370</v>
      </c>
      <c r="E153" s="9" t="n">
        <v>4</v>
      </c>
      <c r="F153" s="4" t="s">
        <v>30</v>
      </c>
      <c r="G153" s="5" t="s">
        <v>1371</v>
      </c>
      <c r="H153" s="5" t="s">
        <v>1372</v>
      </c>
      <c r="I153" s="5" t="s">
        <v>1373</v>
      </c>
      <c r="J153" s="5" t="s">
        <v>1374</v>
      </c>
      <c r="K153" s="5" t="s">
        <v>1375</v>
      </c>
      <c r="L153" s="5" t="s">
        <v>244</v>
      </c>
      <c r="M153" s="5" t="s">
        <v>1376</v>
      </c>
      <c r="N153" s="5" t="s">
        <v>236</v>
      </c>
      <c r="O153" s="4" t="s">
        <v>1377</v>
      </c>
    </row>
    <row r="154" customFormat="false" ht="21.75" hidden="false" customHeight="true" outlineLevel="0" collapsed="false">
      <c r="B154" s="6" t="s">
        <v>87</v>
      </c>
      <c r="C154" s="6" t="s">
        <v>75</v>
      </c>
      <c r="D154" s="6" t="s">
        <v>1378</v>
      </c>
      <c r="E154" s="10" t="n">
        <v>3</v>
      </c>
      <c r="F154" s="6" t="s">
        <v>28</v>
      </c>
      <c r="G154" s="7" t="s">
        <v>1379</v>
      </c>
      <c r="H154" s="7" t="s">
        <v>1380</v>
      </c>
      <c r="I154" s="7" t="s">
        <v>1381</v>
      </c>
      <c r="J154" s="7" t="s">
        <v>1382</v>
      </c>
      <c r="K154" s="7" t="s">
        <v>1383</v>
      </c>
      <c r="L154" s="7" t="s">
        <v>234</v>
      </c>
      <c r="M154" s="7" t="s">
        <v>1384</v>
      </c>
      <c r="N154" s="7" t="s">
        <v>236</v>
      </c>
      <c r="O154" s="6" t="s">
        <v>1385</v>
      </c>
    </row>
    <row r="155" customFormat="false" ht="21.75" hidden="false" customHeight="true" outlineLevel="0" collapsed="false">
      <c r="B155" s="4" t="s">
        <v>87</v>
      </c>
      <c r="C155" s="4" t="s">
        <v>75</v>
      </c>
      <c r="D155" s="4" t="s">
        <v>1386</v>
      </c>
      <c r="E155" s="9" t="n">
        <v>3</v>
      </c>
      <c r="F155" s="4" t="s">
        <v>28</v>
      </c>
      <c r="G155" s="5" t="s">
        <v>1387</v>
      </c>
      <c r="H155" s="5" t="s">
        <v>1388</v>
      </c>
      <c r="I155" s="5" t="s">
        <v>1389</v>
      </c>
      <c r="J155" s="5" t="s">
        <v>1390</v>
      </c>
      <c r="K155" s="5" t="s">
        <v>1391</v>
      </c>
      <c r="L155" s="5" t="s">
        <v>244</v>
      </c>
      <c r="M155" s="5"/>
      <c r="N155" s="5" t="s">
        <v>236</v>
      </c>
      <c r="O155" s="4" t="s">
        <v>1392</v>
      </c>
    </row>
    <row r="156" customFormat="false" ht="21.75" hidden="false" customHeight="true" outlineLevel="0" collapsed="false">
      <c r="B156" s="6" t="s">
        <v>87</v>
      </c>
      <c r="C156" s="6" t="s">
        <v>75</v>
      </c>
      <c r="D156" s="6" t="s">
        <v>1393</v>
      </c>
      <c r="E156" s="10" t="n">
        <v>3</v>
      </c>
      <c r="F156" s="6" t="s">
        <v>28</v>
      </c>
      <c r="G156" s="7" t="s">
        <v>1394</v>
      </c>
      <c r="H156" s="7" t="s">
        <v>1395</v>
      </c>
      <c r="I156" s="7" t="s">
        <v>1373</v>
      </c>
      <c r="J156" s="7" t="s">
        <v>1396</v>
      </c>
      <c r="K156" s="7" t="s">
        <v>1397</v>
      </c>
      <c r="L156" s="7" t="s">
        <v>335</v>
      </c>
      <c r="M156" s="7" t="s">
        <v>1398</v>
      </c>
      <c r="N156" s="7" t="s">
        <v>236</v>
      </c>
      <c r="O156" s="6" t="s">
        <v>1399</v>
      </c>
    </row>
    <row r="157" customFormat="false" ht="21.75" hidden="false" customHeight="true" outlineLevel="0" collapsed="false">
      <c r="B157" s="4" t="s">
        <v>87</v>
      </c>
      <c r="C157" s="4" t="s">
        <v>75</v>
      </c>
      <c r="D157" s="4" t="s">
        <v>1400</v>
      </c>
      <c r="E157" s="9" t="n">
        <v>3</v>
      </c>
      <c r="F157" s="4" t="s">
        <v>28</v>
      </c>
      <c r="G157" s="5" t="s">
        <v>1401</v>
      </c>
      <c r="H157" s="5" t="s">
        <v>1402</v>
      </c>
      <c r="I157" s="5" t="s">
        <v>1403</v>
      </c>
      <c r="J157" s="5" t="s">
        <v>1404</v>
      </c>
      <c r="K157" s="5" t="s">
        <v>1405</v>
      </c>
      <c r="L157" s="5" t="s">
        <v>234</v>
      </c>
      <c r="M157" s="5" t="s">
        <v>1406</v>
      </c>
      <c r="N157" s="5" t="s">
        <v>236</v>
      </c>
      <c r="O157" s="4" t="s">
        <v>1407</v>
      </c>
    </row>
    <row r="158" customFormat="false" ht="21.75" hidden="false" customHeight="true" outlineLevel="0" collapsed="false">
      <c r="B158" s="6" t="s">
        <v>87</v>
      </c>
      <c r="C158" s="6" t="s">
        <v>75</v>
      </c>
      <c r="D158" s="6" t="s">
        <v>1408</v>
      </c>
      <c r="E158" s="10" t="n">
        <v>2</v>
      </c>
      <c r="F158" s="6" t="s">
        <v>26</v>
      </c>
      <c r="G158" s="7" t="s">
        <v>1409</v>
      </c>
      <c r="H158" s="7" t="s">
        <v>1410</v>
      </c>
      <c r="I158" s="7" t="s">
        <v>1411</v>
      </c>
      <c r="J158" s="7" t="s">
        <v>1412</v>
      </c>
      <c r="K158" s="7" t="s">
        <v>1413</v>
      </c>
      <c r="L158" s="7" t="s">
        <v>389</v>
      </c>
      <c r="M158" s="7" t="s">
        <v>1414</v>
      </c>
      <c r="N158" s="7" t="s">
        <v>236</v>
      </c>
      <c r="O158" s="6" t="s">
        <v>1415</v>
      </c>
    </row>
    <row r="159" customFormat="false" ht="21.75" hidden="false" customHeight="true" outlineLevel="0" collapsed="false">
      <c r="B159" s="4" t="s">
        <v>87</v>
      </c>
      <c r="C159" s="4" t="s">
        <v>75</v>
      </c>
      <c r="D159" s="4" t="s">
        <v>1416</v>
      </c>
      <c r="E159" s="9" t="n">
        <v>2</v>
      </c>
      <c r="F159" s="4" t="s">
        <v>26</v>
      </c>
      <c r="G159" s="5" t="s">
        <v>1417</v>
      </c>
      <c r="H159" s="5" t="s">
        <v>1418</v>
      </c>
      <c r="I159" s="5" t="s">
        <v>1419</v>
      </c>
      <c r="J159" s="5" t="s">
        <v>1420</v>
      </c>
      <c r="K159" s="5" t="s">
        <v>1421</v>
      </c>
      <c r="L159" s="5" t="s">
        <v>389</v>
      </c>
      <c r="M159" s="5" t="s">
        <v>1422</v>
      </c>
      <c r="N159" s="5" t="s">
        <v>236</v>
      </c>
      <c r="O159" s="4" t="s">
        <v>1423</v>
      </c>
    </row>
    <row r="160" customFormat="false" ht="21.75" hidden="false" customHeight="true" outlineLevel="0" collapsed="false">
      <c r="B160" s="6" t="s">
        <v>87</v>
      </c>
      <c r="C160" s="6" t="s">
        <v>75</v>
      </c>
      <c r="D160" s="6" t="s">
        <v>1424</v>
      </c>
      <c r="E160" s="10" t="n">
        <v>2</v>
      </c>
      <c r="F160" s="6" t="s">
        <v>26</v>
      </c>
      <c r="G160" s="7" t="s">
        <v>1425</v>
      </c>
      <c r="H160" s="7" t="s">
        <v>1426</v>
      </c>
      <c r="I160" s="7" t="s">
        <v>1427</v>
      </c>
      <c r="J160" s="7" t="s">
        <v>1428</v>
      </c>
      <c r="K160" s="7" t="s">
        <v>1429</v>
      </c>
      <c r="L160" s="7" t="s">
        <v>335</v>
      </c>
      <c r="M160" s="7" t="s">
        <v>1430</v>
      </c>
      <c r="N160" s="7" t="s">
        <v>236</v>
      </c>
      <c r="O160" s="6" t="s">
        <v>1431</v>
      </c>
    </row>
    <row r="161" customFormat="false" ht="21.75" hidden="false" customHeight="true" outlineLevel="0" collapsed="false">
      <c r="B161" s="4" t="s">
        <v>87</v>
      </c>
      <c r="C161" s="4" t="s">
        <v>75</v>
      </c>
      <c r="D161" s="4" t="s">
        <v>1432</v>
      </c>
      <c r="E161" s="9" t="n">
        <v>4</v>
      </c>
      <c r="F161" s="4" t="s">
        <v>30</v>
      </c>
      <c r="G161" s="5" t="s">
        <v>1433</v>
      </c>
      <c r="H161" s="5" t="s">
        <v>1434</v>
      </c>
      <c r="I161" s="5" t="s">
        <v>1435</v>
      </c>
      <c r="J161" s="5" t="s">
        <v>1436</v>
      </c>
      <c r="K161" s="5" t="s">
        <v>1437</v>
      </c>
      <c r="L161" s="5" t="s">
        <v>234</v>
      </c>
      <c r="M161" s="5" t="s">
        <v>1438</v>
      </c>
      <c r="N161" s="5" t="s">
        <v>236</v>
      </c>
      <c r="O161" s="4" t="s">
        <v>1439</v>
      </c>
    </row>
    <row r="162" customFormat="false" ht="21.75" hidden="false" customHeight="true" outlineLevel="0" collapsed="false">
      <c r="B162" s="6" t="s">
        <v>93</v>
      </c>
      <c r="C162" s="6" t="s">
        <v>75</v>
      </c>
      <c r="D162" s="6" t="s">
        <v>1440</v>
      </c>
      <c r="E162" s="10" t="n">
        <v>3</v>
      </c>
      <c r="F162" s="6" t="s">
        <v>28</v>
      </c>
      <c r="G162" s="7" t="s">
        <v>1441</v>
      </c>
      <c r="H162" s="7" t="s">
        <v>1442</v>
      </c>
      <c r="I162" s="7" t="s">
        <v>1443</v>
      </c>
      <c r="J162" s="7" t="s">
        <v>1444</v>
      </c>
      <c r="K162" s="7" t="s">
        <v>1445</v>
      </c>
      <c r="L162" s="7" t="s">
        <v>260</v>
      </c>
      <c r="M162" s="7" t="s">
        <v>1446</v>
      </c>
      <c r="N162" s="7" t="s">
        <v>236</v>
      </c>
      <c r="O162" s="6" t="s">
        <v>1447</v>
      </c>
    </row>
    <row r="163" customFormat="false" ht="21.75" hidden="false" customHeight="true" outlineLevel="0" collapsed="false">
      <c r="B163" s="4" t="s">
        <v>93</v>
      </c>
      <c r="C163" s="4" t="s">
        <v>75</v>
      </c>
      <c r="D163" s="4" t="s">
        <v>1448</v>
      </c>
      <c r="E163" s="9" t="n">
        <v>2</v>
      </c>
      <c r="F163" s="4" t="s">
        <v>26</v>
      </c>
      <c r="G163" s="5" t="s">
        <v>1449</v>
      </c>
      <c r="H163" s="5" t="s">
        <v>1450</v>
      </c>
      <c r="I163" s="5" t="s">
        <v>1451</v>
      </c>
      <c r="J163" s="5" t="s">
        <v>1452</v>
      </c>
      <c r="K163" s="5" t="s">
        <v>1453</v>
      </c>
      <c r="L163" s="5" t="s">
        <v>244</v>
      </c>
      <c r="M163" s="5" t="s">
        <v>1454</v>
      </c>
      <c r="N163" s="5" t="s">
        <v>236</v>
      </c>
      <c r="O163" s="4" t="s">
        <v>1455</v>
      </c>
    </row>
    <row r="164" customFormat="false" ht="21.75" hidden="false" customHeight="true" outlineLevel="0" collapsed="false">
      <c r="B164" s="6" t="s">
        <v>93</v>
      </c>
      <c r="C164" s="6" t="s">
        <v>75</v>
      </c>
      <c r="D164" s="6" t="s">
        <v>1456</v>
      </c>
      <c r="E164" s="10" t="n">
        <v>2</v>
      </c>
      <c r="F164" s="6" t="s">
        <v>26</v>
      </c>
      <c r="G164" s="7" t="s">
        <v>1457</v>
      </c>
      <c r="H164" s="7" t="s">
        <v>1458</v>
      </c>
      <c r="I164" s="7" t="s">
        <v>1459</v>
      </c>
      <c r="J164" s="7" t="s">
        <v>1460</v>
      </c>
      <c r="K164" s="7" t="s">
        <v>1461</v>
      </c>
      <c r="L164" s="7" t="s">
        <v>244</v>
      </c>
      <c r="M164" s="7" t="s">
        <v>1462</v>
      </c>
      <c r="N164" s="7" t="s">
        <v>236</v>
      </c>
      <c r="O164" s="6" t="s">
        <v>1463</v>
      </c>
    </row>
    <row r="165" customFormat="false" ht="21.75" hidden="false" customHeight="true" outlineLevel="0" collapsed="false">
      <c r="B165" s="4" t="s">
        <v>93</v>
      </c>
      <c r="C165" s="4" t="s">
        <v>75</v>
      </c>
      <c r="D165" s="4" t="s">
        <v>1464</v>
      </c>
      <c r="E165" s="9" t="n">
        <v>3</v>
      </c>
      <c r="F165" s="4" t="s">
        <v>28</v>
      </c>
      <c r="G165" s="5" t="s">
        <v>1465</v>
      </c>
      <c r="H165" s="5" t="s">
        <v>1466</v>
      </c>
      <c r="I165" s="5" t="s">
        <v>1467</v>
      </c>
      <c r="J165" s="5" t="s">
        <v>1468</v>
      </c>
      <c r="K165" s="5"/>
      <c r="L165" s="5"/>
      <c r="M165" s="5" t="s">
        <v>1469</v>
      </c>
      <c r="N165" s="5" t="s">
        <v>236</v>
      </c>
      <c r="O165" s="4" t="s">
        <v>1470</v>
      </c>
    </row>
    <row r="166" customFormat="false" ht="21.75" hidden="false" customHeight="true" outlineLevel="0" collapsed="false">
      <c r="B166" s="6" t="s">
        <v>93</v>
      </c>
      <c r="C166" s="6" t="s">
        <v>75</v>
      </c>
      <c r="D166" s="6" t="s">
        <v>1471</v>
      </c>
      <c r="E166" s="10" t="n">
        <v>4</v>
      </c>
      <c r="F166" s="6" t="s">
        <v>30</v>
      </c>
      <c r="G166" s="7" t="s">
        <v>1472</v>
      </c>
      <c r="H166" s="7" t="s">
        <v>1473</v>
      </c>
      <c r="I166" s="7" t="s">
        <v>1474</v>
      </c>
      <c r="J166" s="7" t="s">
        <v>1475</v>
      </c>
      <c r="K166" s="7" t="s">
        <v>1476</v>
      </c>
      <c r="L166" s="7" t="s">
        <v>234</v>
      </c>
      <c r="M166" s="7" t="s">
        <v>1477</v>
      </c>
      <c r="N166" s="7" t="s">
        <v>236</v>
      </c>
      <c r="O166" s="6" t="s">
        <v>1478</v>
      </c>
    </row>
    <row r="167" customFormat="false" ht="21.75" hidden="false" customHeight="true" outlineLevel="0" collapsed="false">
      <c r="B167" s="4" t="s">
        <v>93</v>
      </c>
      <c r="C167" s="4" t="s">
        <v>75</v>
      </c>
      <c r="D167" s="4" t="s">
        <v>1479</v>
      </c>
      <c r="E167" s="9" t="n">
        <v>1</v>
      </c>
      <c r="F167" s="4" t="s">
        <v>24</v>
      </c>
      <c r="G167" s="5" t="s">
        <v>1480</v>
      </c>
      <c r="H167" s="5" t="s">
        <v>1481</v>
      </c>
      <c r="I167" s="5" t="s">
        <v>1482</v>
      </c>
      <c r="J167" s="5" t="s">
        <v>1483</v>
      </c>
      <c r="K167" s="5" t="s">
        <v>1484</v>
      </c>
      <c r="L167" s="5" t="s">
        <v>335</v>
      </c>
      <c r="M167" s="5" t="s">
        <v>1485</v>
      </c>
      <c r="N167" s="5" t="s">
        <v>236</v>
      </c>
      <c r="O167" s="4" t="s">
        <v>1486</v>
      </c>
    </row>
    <row r="168" customFormat="false" ht="21.75" hidden="false" customHeight="true" outlineLevel="0" collapsed="false">
      <c r="B168" s="6" t="s">
        <v>93</v>
      </c>
      <c r="C168" s="6" t="s">
        <v>75</v>
      </c>
      <c r="D168" s="6" t="s">
        <v>1487</v>
      </c>
      <c r="E168" s="10" t="n">
        <v>4</v>
      </c>
      <c r="F168" s="6" t="s">
        <v>30</v>
      </c>
      <c r="G168" s="7" t="s">
        <v>1488</v>
      </c>
      <c r="H168" s="7" t="s">
        <v>1489</v>
      </c>
      <c r="I168" s="7" t="s">
        <v>1490</v>
      </c>
      <c r="J168" s="7" t="s">
        <v>1491</v>
      </c>
      <c r="K168" s="7" t="s">
        <v>1492</v>
      </c>
      <c r="L168" s="7" t="s">
        <v>234</v>
      </c>
      <c r="M168" s="7" t="s">
        <v>1493</v>
      </c>
      <c r="N168" s="7" t="s">
        <v>236</v>
      </c>
      <c r="O168" s="6" t="s">
        <v>1494</v>
      </c>
    </row>
    <row r="169" customFormat="false" ht="21.75" hidden="false" customHeight="true" outlineLevel="0" collapsed="false">
      <c r="B169" s="4" t="s">
        <v>93</v>
      </c>
      <c r="C169" s="4" t="s">
        <v>75</v>
      </c>
      <c r="D169" s="4" t="s">
        <v>1495</v>
      </c>
      <c r="E169" s="9" t="n">
        <v>3</v>
      </c>
      <c r="F169" s="4" t="s">
        <v>28</v>
      </c>
      <c r="G169" s="5" t="s">
        <v>1496</v>
      </c>
      <c r="H169" s="5" t="s">
        <v>1497</v>
      </c>
      <c r="I169" s="5" t="s">
        <v>1233</v>
      </c>
      <c r="J169" s="5" t="s">
        <v>1498</v>
      </c>
      <c r="K169" s="5" t="s">
        <v>1499</v>
      </c>
      <c r="L169" s="5" t="s">
        <v>260</v>
      </c>
      <c r="M169" s="5" t="s">
        <v>1500</v>
      </c>
      <c r="N169" s="5" t="s">
        <v>236</v>
      </c>
      <c r="O169" s="4" t="s">
        <v>1501</v>
      </c>
    </row>
    <row r="170" customFormat="false" ht="21.75" hidden="false" customHeight="true" outlineLevel="0" collapsed="false">
      <c r="B170" s="6" t="s">
        <v>93</v>
      </c>
      <c r="C170" s="6" t="s">
        <v>75</v>
      </c>
      <c r="D170" s="6" t="s">
        <v>1502</v>
      </c>
      <c r="E170" s="10" t="n">
        <v>2</v>
      </c>
      <c r="F170" s="6" t="s">
        <v>26</v>
      </c>
      <c r="G170" s="7" t="s">
        <v>1503</v>
      </c>
      <c r="H170" s="7" t="s">
        <v>1504</v>
      </c>
      <c r="I170" s="7" t="s">
        <v>1505</v>
      </c>
      <c r="J170" s="7" t="s">
        <v>1506</v>
      </c>
      <c r="K170" s="7" t="s">
        <v>1507</v>
      </c>
      <c r="L170" s="7" t="s">
        <v>244</v>
      </c>
      <c r="M170" s="7" t="s">
        <v>1508</v>
      </c>
      <c r="N170" s="7" t="s">
        <v>236</v>
      </c>
      <c r="O170" s="6" t="s">
        <v>1509</v>
      </c>
    </row>
    <row r="171" customFormat="false" ht="21.75" hidden="false" customHeight="true" outlineLevel="0" collapsed="false">
      <c r="B171" s="4" t="s">
        <v>93</v>
      </c>
      <c r="C171" s="4" t="s">
        <v>75</v>
      </c>
      <c r="D171" s="4" t="s">
        <v>1510</v>
      </c>
      <c r="E171" s="9" t="n">
        <v>4</v>
      </c>
      <c r="F171" s="4" t="s">
        <v>30</v>
      </c>
      <c r="G171" s="5" t="s">
        <v>1511</v>
      </c>
      <c r="H171" s="5" t="s">
        <v>1512</v>
      </c>
      <c r="I171" s="5" t="s">
        <v>1513</v>
      </c>
      <c r="J171" s="5" t="s">
        <v>1514</v>
      </c>
      <c r="K171" s="5" t="s">
        <v>1515</v>
      </c>
      <c r="L171" s="5" t="s">
        <v>234</v>
      </c>
      <c r="M171" s="5" t="s">
        <v>1516</v>
      </c>
      <c r="N171" s="5" t="s">
        <v>236</v>
      </c>
      <c r="O171" s="4" t="s">
        <v>1517</v>
      </c>
    </row>
    <row r="172" customFormat="false" ht="21.75" hidden="false" customHeight="true" outlineLevel="0" collapsed="false">
      <c r="B172" s="6" t="s">
        <v>93</v>
      </c>
      <c r="C172" s="6" t="s">
        <v>75</v>
      </c>
      <c r="D172" s="6" t="s">
        <v>1518</v>
      </c>
      <c r="E172" s="10" t="n">
        <v>2</v>
      </c>
      <c r="F172" s="6" t="s">
        <v>26</v>
      </c>
      <c r="G172" s="7" t="s">
        <v>1519</v>
      </c>
      <c r="H172" s="7" t="s">
        <v>1520</v>
      </c>
      <c r="I172" s="7" t="s">
        <v>1521</v>
      </c>
      <c r="J172" s="7" t="s">
        <v>1522</v>
      </c>
      <c r="K172" s="7" t="s">
        <v>1523</v>
      </c>
      <c r="L172" s="7" t="s">
        <v>389</v>
      </c>
      <c r="M172" s="7" t="s">
        <v>1524</v>
      </c>
      <c r="N172" s="7" t="s">
        <v>236</v>
      </c>
      <c r="O172" s="6" t="s">
        <v>1525</v>
      </c>
    </row>
    <row r="173" customFormat="false" ht="21.75" hidden="false" customHeight="true" outlineLevel="0" collapsed="false">
      <c r="B173" s="4" t="s">
        <v>93</v>
      </c>
      <c r="C173" s="4" t="s">
        <v>75</v>
      </c>
      <c r="D173" s="4" t="s">
        <v>1526</v>
      </c>
      <c r="E173" s="9" t="n">
        <v>4</v>
      </c>
      <c r="F173" s="4" t="s">
        <v>30</v>
      </c>
      <c r="G173" s="5" t="s">
        <v>1527</v>
      </c>
      <c r="H173" s="5" t="s">
        <v>1528</v>
      </c>
      <c r="I173" s="5" t="s">
        <v>1529</v>
      </c>
      <c r="J173" s="5" t="s">
        <v>1530</v>
      </c>
      <c r="K173" s="5" t="s">
        <v>1531</v>
      </c>
      <c r="L173" s="5" t="s">
        <v>335</v>
      </c>
      <c r="M173" s="5" t="s">
        <v>1532</v>
      </c>
      <c r="N173" s="5" t="s">
        <v>236</v>
      </c>
      <c r="O173" s="4" t="s">
        <v>1533</v>
      </c>
    </row>
    <row r="174" customFormat="false" ht="21.75" hidden="false" customHeight="true" outlineLevel="0" collapsed="false">
      <c r="B174" s="6" t="s">
        <v>93</v>
      </c>
      <c r="C174" s="6" t="s">
        <v>75</v>
      </c>
      <c r="D174" s="6" t="s">
        <v>1534</v>
      </c>
      <c r="E174" s="10" t="n">
        <v>3</v>
      </c>
      <c r="F174" s="6" t="s">
        <v>28</v>
      </c>
      <c r="G174" s="7" t="s">
        <v>1535</v>
      </c>
      <c r="H174" s="7" t="s">
        <v>1536</v>
      </c>
      <c r="I174" s="7" t="s">
        <v>1537</v>
      </c>
      <c r="J174" s="7" t="s">
        <v>1538</v>
      </c>
      <c r="K174" s="7" t="s">
        <v>1539</v>
      </c>
      <c r="L174" s="7" t="s">
        <v>234</v>
      </c>
      <c r="M174" s="7" t="s">
        <v>1540</v>
      </c>
      <c r="N174" s="7" t="s">
        <v>236</v>
      </c>
      <c r="O174" s="6" t="s">
        <v>1541</v>
      </c>
    </row>
    <row r="175" customFormat="false" ht="21.75" hidden="false" customHeight="true" outlineLevel="0" collapsed="false">
      <c r="B175" s="4" t="s">
        <v>93</v>
      </c>
      <c r="C175" s="4" t="s">
        <v>75</v>
      </c>
      <c r="D175" s="4" t="s">
        <v>1542</v>
      </c>
      <c r="E175" s="9" t="n">
        <v>4</v>
      </c>
      <c r="F175" s="4" t="s">
        <v>30</v>
      </c>
      <c r="G175" s="5" t="s">
        <v>1543</v>
      </c>
      <c r="H175" s="5" t="s">
        <v>1544</v>
      </c>
      <c r="I175" s="5" t="s">
        <v>1545</v>
      </c>
      <c r="J175" s="5" t="s">
        <v>1546</v>
      </c>
      <c r="K175" s="5" t="s">
        <v>1547</v>
      </c>
      <c r="L175" s="5" t="s">
        <v>234</v>
      </c>
      <c r="M175" s="5" t="s">
        <v>1548</v>
      </c>
      <c r="N175" s="5" t="s">
        <v>236</v>
      </c>
      <c r="O175" s="4" t="s">
        <v>1549</v>
      </c>
    </row>
    <row r="176" customFormat="false" ht="21.75" hidden="false" customHeight="true" outlineLevel="0" collapsed="false">
      <c r="B176" s="6" t="s">
        <v>93</v>
      </c>
      <c r="C176" s="6" t="s">
        <v>75</v>
      </c>
      <c r="D176" s="6" t="s">
        <v>1550</v>
      </c>
      <c r="E176" s="10" t="n">
        <v>4</v>
      </c>
      <c r="F176" s="6" t="s">
        <v>30</v>
      </c>
      <c r="G176" s="7" t="s">
        <v>1551</v>
      </c>
      <c r="H176" s="7" t="s">
        <v>1552</v>
      </c>
      <c r="I176" s="7" t="s">
        <v>1553</v>
      </c>
      <c r="J176" s="7" t="s">
        <v>1554</v>
      </c>
      <c r="K176" s="7" t="s">
        <v>1555</v>
      </c>
      <c r="L176" s="7" t="s">
        <v>234</v>
      </c>
      <c r="M176" s="7" t="s">
        <v>1556</v>
      </c>
      <c r="N176" s="7" t="s">
        <v>236</v>
      </c>
      <c r="O176" s="6" t="s">
        <v>1557</v>
      </c>
    </row>
    <row r="177" customFormat="false" ht="21.75" hidden="false" customHeight="true" outlineLevel="0" collapsed="false">
      <c r="B177" s="4" t="s">
        <v>93</v>
      </c>
      <c r="C177" s="4" t="s">
        <v>75</v>
      </c>
      <c r="D177" s="4" t="s">
        <v>1558</v>
      </c>
      <c r="E177" s="9" t="n">
        <v>4</v>
      </c>
      <c r="F177" s="4" t="s">
        <v>30</v>
      </c>
      <c r="G177" s="5" t="s">
        <v>1559</v>
      </c>
      <c r="H177" s="5" t="s">
        <v>1560</v>
      </c>
      <c r="I177" s="5" t="s">
        <v>1561</v>
      </c>
      <c r="J177" s="5" t="s">
        <v>1562</v>
      </c>
      <c r="K177" s="5" t="s">
        <v>1563</v>
      </c>
      <c r="L177" s="5" t="s">
        <v>335</v>
      </c>
      <c r="M177" s="5" t="s">
        <v>1564</v>
      </c>
      <c r="N177" s="5" t="s">
        <v>236</v>
      </c>
      <c r="O177" s="4" t="s">
        <v>1565</v>
      </c>
    </row>
    <row r="178" customFormat="false" ht="21.75" hidden="false" customHeight="true" outlineLevel="0" collapsed="false">
      <c r="B178" s="6" t="s">
        <v>99</v>
      </c>
      <c r="C178" s="6" t="s">
        <v>100</v>
      </c>
      <c r="D178" s="6" t="s">
        <v>1566</v>
      </c>
      <c r="E178" s="10" t="n">
        <v>0</v>
      </c>
      <c r="F178" s="6" t="s">
        <v>22</v>
      </c>
      <c r="G178" s="7" t="s">
        <v>1567</v>
      </c>
      <c r="H178" s="7" t="s">
        <v>1568</v>
      </c>
      <c r="I178" s="7" t="s">
        <v>1569</v>
      </c>
      <c r="J178" s="7" t="s">
        <v>1570</v>
      </c>
      <c r="K178" s="7" t="s">
        <v>1571</v>
      </c>
      <c r="L178" s="7" t="s">
        <v>260</v>
      </c>
      <c r="M178" s="7" t="s">
        <v>1572</v>
      </c>
      <c r="N178" s="7" t="s">
        <v>236</v>
      </c>
      <c r="O178" s="6" t="s">
        <v>1573</v>
      </c>
    </row>
    <row r="179" customFormat="false" ht="21.75" hidden="false" customHeight="true" outlineLevel="0" collapsed="false">
      <c r="B179" s="4" t="s">
        <v>99</v>
      </c>
      <c r="C179" s="4" t="s">
        <v>100</v>
      </c>
      <c r="D179" s="4" t="s">
        <v>1574</v>
      </c>
      <c r="E179" s="9" t="n">
        <v>0</v>
      </c>
      <c r="F179" s="4" t="s">
        <v>22</v>
      </c>
      <c r="G179" s="5" t="s">
        <v>1575</v>
      </c>
      <c r="H179" s="5" t="s">
        <v>1576</v>
      </c>
      <c r="I179" s="5" t="s">
        <v>1302</v>
      </c>
      <c r="J179" s="5" t="s">
        <v>1577</v>
      </c>
      <c r="K179" s="5" t="s">
        <v>1578</v>
      </c>
      <c r="L179" s="5" t="s">
        <v>335</v>
      </c>
      <c r="M179" s="5" t="s">
        <v>1579</v>
      </c>
      <c r="N179" s="5" t="s">
        <v>236</v>
      </c>
      <c r="O179" s="4" t="s">
        <v>1580</v>
      </c>
    </row>
    <row r="180" customFormat="false" ht="21.75" hidden="false" customHeight="true" outlineLevel="0" collapsed="false">
      <c r="B180" s="6" t="s">
        <v>99</v>
      </c>
      <c r="C180" s="6" t="s">
        <v>100</v>
      </c>
      <c r="D180" s="6" t="s">
        <v>1581</v>
      </c>
      <c r="E180" s="10" t="n">
        <v>0</v>
      </c>
      <c r="F180" s="6" t="s">
        <v>22</v>
      </c>
      <c r="G180" s="7" t="s">
        <v>1582</v>
      </c>
      <c r="H180" s="7" t="s">
        <v>1583</v>
      </c>
      <c r="I180" s="7" t="s">
        <v>1584</v>
      </c>
      <c r="J180" s="7" t="s">
        <v>1585</v>
      </c>
      <c r="K180" s="7" t="s">
        <v>1586</v>
      </c>
      <c r="L180" s="7" t="s">
        <v>291</v>
      </c>
      <c r="M180" s="7" t="s">
        <v>1587</v>
      </c>
      <c r="N180" s="7" t="s">
        <v>236</v>
      </c>
      <c r="O180" s="6" t="s">
        <v>1588</v>
      </c>
    </row>
    <row r="181" customFormat="false" ht="21.75" hidden="false" customHeight="true" outlineLevel="0" collapsed="false">
      <c r="B181" s="4" t="s">
        <v>99</v>
      </c>
      <c r="C181" s="4" t="s">
        <v>100</v>
      </c>
      <c r="D181" s="4" t="s">
        <v>1589</v>
      </c>
      <c r="E181" s="9" t="n">
        <v>1</v>
      </c>
      <c r="F181" s="4" t="s">
        <v>24</v>
      </c>
      <c r="G181" s="5" t="s">
        <v>1590</v>
      </c>
      <c r="H181" s="5" t="s">
        <v>1591</v>
      </c>
      <c r="I181" s="5" t="s">
        <v>1592</v>
      </c>
      <c r="J181" s="5" t="s">
        <v>1593</v>
      </c>
      <c r="K181" s="5" t="s">
        <v>1594</v>
      </c>
      <c r="L181" s="5" t="s">
        <v>469</v>
      </c>
      <c r="M181" s="5" t="s">
        <v>1595</v>
      </c>
      <c r="N181" s="5" t="s">
        <v>236</v>
      </c>
      <c r="O181" s="4" t="s">
        <v>1596</v>
      </c>
    </row>
    <row r="182" customFormat="false" ht="21.75" hidden="false" customHeight="true" outlineLevel="0" collapsed="false">
      <c r="B182" s="6" t="s">
        <v>99</v>
      </c>
      <c r="C182" s="6" t="s">
        <v>100</v>
      </c>
      <c r="D182" s="6" t="s">
        <v>1597</v>
      </c>
      <c r="E182" s="10" t="n">
        <v>1</v>
      </c>
      <c r="F182" s="6" t="s">
        <v>24</v>
      </c>
      <c r="G182" s="7" t="s">
        <v>1598</v>
      </c>
      <c r="H182" s="7" t="s">
        <v>1599</v>
      </c>
      <c r="I182" s="7" t="s">
        <v>1600</v>
      </c>
      <c r="J182" s="7" t="s">
        <v>1601</v>
      </c>
      <c r="K182" s="7" t="s">
        <v>1602</v>
      </c>
      <c r="L182" s="7" t="s">
        <v>469</v>
      </c>
      <c r="M182" s="7" t="s">
        <v>1603</v>
      </c>
      <c r="N182" s="7" t="s">
        <v>236</v>
      </c>
      <c r="O182" s="6" t="s">
        <v>1604</v>
      </c>
    </row>
    <row r="183" customFormat="false" ht="21.75" hidden="false" customHeight="true" outlineLevel="0" collapsed="false">
      <c r="B183" s="4" t="s">
        <v>99</v>
      </c>
      <c r="C183" s="4" t="s">
        <v>100</v>
      </c>
      <c r="D183" s="4" t="s">
        <v>1605</v>
      </c>
      <c r="E183" s="9" t="n">
        <v>1</v>
      </c>
      <c r="F183" s="4" t="s">
        <v>24</v>
      </c>
      <c r="G183" s="5" t="s">
        <v>1606</v>
      </c>
      <c r="H183" s="5" t="s">
        <v>1607</v>
      </c>
      <c r="I183" s="5" t="s">
        <v>1608</v>
      </c>
      <c r="J183" s="5" t="s">
        <v>1609</v>
      </c>
      <c r="K183" s="5"/>
      <c r="L183" s="5"/>
      <c r="M183" s="5"/>
      <c r="N183" s="5" t="s">
        <v>236</v>
      </c>
      <c r="O183" s="4" t="s">
        <v>1610</v>
      </c>
    </row>
    <row r="184" customFormat="false" ht="21.75" hidden="false" customHeight="true" outlineLevel="0" collapsed="false">
      <c r="B184" s="6" t="s">
        <v>99</v>
      </c>
      <c r="C184" s="6" t="s">
        <v>100</v>
      </c>
      <c r="D184" s="6" t="s">
        <v>1611</v>
      </c>
      <c r="E184" s="10" t="n">
        <v>1</v>
      </c>
      <c r="F184" s="6" t="s">
        <v>24</v>
      </c>
      <c r="G184" s="7" t="s">
        <v>1612</v>
      </c>
      <c r="H184" s="7" t="s">
        <v>1613</v>
      </c>
      <c r="I184" s="7" t="s">
        <v>1614</v>
      </c>
      <c r="J184" s="7" t="s">
        <v>1615</v>
      </c>
      <c r="K184" s="7"/>
      <c r="L184" s="7"/>
      <c r="M184" s="7"/>
      <c r="N184" s="7" t="s">
        <v>236</v>
      </c>
      <c r="O184" s="6" t="s">
        <v>1616</v>
      </c>
    </row>
    <row r="185" customFormat="false" ht="21.75" hidden="false" customHeight="true" outlineLevel="0" collapsed="false">
      <c r="B185" s="4" t="s">
        <v>99</v>
      </c>
      <c r="C185" s="4" t="s">
        <v>100</v>
      </c>
      <c r="D185" s="4" t="s">
        <v>1617</v>
      </c>
      <c r="E185" s="9" t="n">
        <v>1</v>
      </c>
      <c r="F185" s="4" t="s">
        <v>24</v>
      </c>
      <c r="G185" s="5" t="s">
        <v>1618</v>
      </c>
      <c r="H185" s="5" t="s">
        <v>1619</v>
      </c>
      <c r="I185" s="5" t="s">
        <v>1620</v>
      </c>
      <c r="J185" s="5" t="s">
        <v>1621</v>
      </c>
      <c r="K185" s="5"/>
      <c r="L185" s="5"/>
      <c r="M185" s="5" t="s">
        <v>1622</v>
      </c>
      <c r="N185" s="5" t="s">
        <v>236</v>
      </c>
      <c r="O185" s="4" t="s">
        <v>1623</v>
      </c>
    </row>
    <row r="186" customFormat="false" ht="21.75" hidden="false" customHeight="true" outlineLevel="0" collapsed="false">
      <c r="B186" s="6" t="s">
        <v>99</v>
      </c>
      <c r="C186" s="6" t="s">
        <v>100</v>
      </c>
      <c r="D186" s="6" t="s">
        <v>1624</v>
      </c>
      <c r="E186" s="10" t="n">
        <v>1</v>
      </c>
      <c r="F186" s="6" t="s">
        <v>24</v>
      </c>
      <c r="G186" s="7" t="s">
        <v>1625</v>
      </c>
      <c r="H186" s="7" t="s">
        <v>1626</v>
      </c>
      <c r="I186" s="7" t="s">
        <v>1627</v>
      </c>
      <c r="J186" s="7" t="s">
        <v>1628</v>
      </c>
      <c r="K186" s="7" t="s">
        <v>1629</v>
      </c>
      <c r="L186" s="7" t="s">
        <v>260</v>
      </c>
      <c r="M186" s="7" t="s">
        <v>1630</v>
      </c>
      <c r="N186" s="7" t="s">
        <v>236</v>
      </c>
      <c r="O186" s="6" t="s">
        <v>1631</v>
      </c>
    </row>
    <row r="187" customFormat="false" ht="21.75" hidden="false" customHeight="true" outlineLevel="0" collapsed="false">
      <c r="B187" s="4" t="s">
        <v>99</v>
      </c>
      <c r="C187" s="4" t="s">
        <v>100</v>
      </c>
      <c r="D187" s="4" t="s">
        <v>1632</v>
      </c>
      <c r="E187" s="9" t="n">
        <v>1</v>
      </c>
      <c r="F187" s="4" t="s">
        <v>24</v>
      </c>
      <c r="G187" s="5" t="s">
        <v>1633</v>
      </c>
      <c r="H187" s="5" t="s">
        <v>1634</v>
      </c>
      <c r="I187" s="5" t="s">
        <v>1635</v>
      </c>
      <c r="J187" s="5" t="s">
        <v>1636</v>
      </c>
      <c r="K187" s="5" t="s">
        <v>1637</v>
      </c>
      <c r="L187" s="5" t="s">
        <v>260</v>
      </c>
      <c r="M187" s="5" t="s">
        <v>1638</v>
      </c>
      <c r="N187" s="5" t="s">
        <v>236</v>
      </c>
      <c r="O187" s="4" t="s">
        <v>1639</v>
      </c>
    </row>
    <row r="188" customFormat="false" ht="21.75" hidden="false" customHeight="true" outlineLevel="0" collapsed="false">
      <c r="B188" s="6" t="s">
        <v>99</v>
      </c>
      <c r="C188" s="6" t="s">
        <v>100</v>
      </c>
      <c r="D188" s="6" t="s">
        <v>1640</v>
      </c>
      <c r="E188" s="10" t="n">
        <v>1</v>
      </c>
      <c r="F188" s="6" t="s">
        <v>24</v>
      </c>
      <c r="G188" s="7" t="s">
        <v>1641</v>
      </c>
      <c r="H188" s="7" t="s">
        <v>1642</v>
      </c>
      <c r="I188" s="7" t="s">
        <v>1643</v>
      </c>
      <c r="J188" s="7" t="s">
        <v>1644</v>
      </c>
      <c r="K188" s="7" t="s">
        <v>1645</v>
      </c>
      <c r="L188" s="7" t="s">
        <v>260</v>
      </c>
      <c r="M188" s="7" t="s">
        <v>1646</v>
      </c>
      <c r="N188" s="7" t="s">
        <v>236</v>
      </c>
      <c r="O188" s="6" t="s">
        <v>1647</v>
      </c>
    </row>
    <row r="189" customFormat="false" ht="21.75" hidden="false" customHeight="true" outlineLevel="0" collapsed="false">
      <c r="B189" s="4" t="s">
        <v>99</v>
      </c>
      <c r="C189" s="4" t="s">
        <v>100</v>
      </c>
      <c r="D189" s="4" t="s">
        <v>1648</v>
      </c>
      <c r="E189" s="9" t="n">
        <v>1</v>
      </c>
      <c r="F189" s="4" t="s">
        <v>24</v>
      </c>
      <c r="G189" s="5" t="s">
        <v>1649</v>
      </c>
      <c r="H189" s="5" t="s">
        <v>1650</v>
      </c>
      <c r="I189" s="5" t="s">
        <v>1651</v>
      </c>
      <c r="J189" s="5" t="s">
        <v>1652</v>
      </c>
      <c r="K189" s="5"/>
      <c r="L189" s="5"/>
      <c r="M189" s="5" t="s">
        <v>1653</v>
      </c>
      <c r="N189" s="5" t="s">
        <v>236</v>
      </c>
      <c r="O189" s="4" t="s">
        <v>1654</v>
      </c>
    </row>
    <row r="190" customFormat="false" ht="21.75" hidden="false" customHeight="true" outlineLevel="0" collapsed="false">
      <c r="B190" s="6" t="s">
        <v>99</v>
      </c>
      <c r="C190" s="6" t="s">
        <v>100</v>
      </c>
      <c r="D190" s="6" t="s">
        <v>1655</v>
      </c>
      <c r="E190" s="10" t="n">
        <v>1</v>
      </c>
      <c r="F190" s="6" t="s">
        <v>24</v>
      </c>
      <c r="G190" s="7" t="s">
        <v>1656</v>
      </c>
      <c r="H190" s="7" t="s">
        <v>1657</v>
      </c>
      <c r="I190" s="7" t="s">
        <v>1658</v>
      </c>
      <c r="J190" s="7" t="s">
        <v>1659</v>
      </c>
      <c r="K190" s="7" t="s">
        <v>1660</v>
      </c>
      <c r="L190" s="7" t="s">
        <v>244</v>
      </c>
      <c r="M190" s="7" t="s">
        <v>1661</v>
      </c>
      <c r="N190" s="7" t="s">
        <v>236</v>
      </c>
      <c r="O190" s="6" t="s">
        <v>1662</v>
      </c>
    </row>
    <row r="191" customFormat="false" ht="21.75" hidden="false" customHeight="true" outlineLevel="0" collapsed="false">
      <c r="B191" s="4" t="s">
        <v>99</v>
      </c>
      <c r="C191" s="4" t="s">
        <v>100</v>
      </c>
      <c r="D191" s="4" t="s">
        <v>1663</v>
      </c>
      <c r="E191" s="9" t="n">
        <v>1</v>
      </c>
      <c r="F191" s="4" t="s">
        <v>24</v>
      </c>
      <c r="G191" s="5" t="s">
        <v>1664</v>
      </c>
      <c r="H191" s="5" t="s">
        <v>1665</v>
      </c>
      <c r="I191" s="5" t="s">
        <v>1666</v>
      </c>
      <c r="J191" s="5" t="s">
        <v>1667</v>
      </c>
      <c r="K191" s="5" t="s">
        <v>1668</v>
      </c>
      <c r="L191" s="5" t="s">
        <v>291</v>
      </c>
      <c r="M191" s="5" t="s">
        <v>1669</v>
      </c>
      <c r="N191" s="5" t="s">
        <v>236</v>
      </c>
      <c r="O191" s="4" t="s">
        <v>1670</v>
      </c>
    </row>
    <row r="192" customFormat="false" ht="21.75" hidden="false" customHeight="true" outlineLevel="0" collapsed="false">
      <c r="B192" s="6" t="s">
        <v>99</v>
      </c>
      <c r="C192" s="6" t="s">
        <v>100</v>
      </c>
      <c r="D192" s="6" t="s">
        <v>1671</v>
      </c>
      <c r="E192" s="10" t="n">
        <v>2</v>
      </c>
      <c r="F192" s="6" t="s">
        <v>26</v>
      </c>
      <c r="G192" s="7" t="s">
        <v>1672</v>
      </c>
      <c r="H192" s="7" t="s">
        <v>1673</v>
      </c>
      <c r="I192" s="7" t="s">
        <v>1674</v>
      </c>
      <c r="J192" s="7" t="s">
        <v>1675</v>
      </c>
      <c r="K192" s="7" t="s">
        <v>1676</v>
      </c>
      <c r="L192" s="7" t="s">
        <v>389</v>
      </c>
      <c r="M192" s="7" t="s">
        <v>1677</v>
      </c>
      <c r="N192" s="7" t="s">
        <v>236</v>
      </c>
      <c r="O192" s="6" t="s">
        <v>1678</v>
      </c>
    </row>
    <row r="193" customFormat="false" ht="21.75" hidden="false" customHeight="true" outlineLevel="0" collapsed="false">
      <c r="B193" s="4" t="s">
        <v>99</v>
      </c>
      <c r="C193" s="4" t="s">
        <v>100</v>
      </c>
      <c r="D193" s="4" t="s">
        <v>1679</v>
      </c>
      <c r="E193" s="9" t="n">
        <v>2</v>
      </c>
      <c r="F193" s="4" t="s">
        <v>26</v>
      </c>
      <c r="G193" s="5" t="s">
        <v>1680</v>
      </c>
      <c r="H193" s="5" t="s">
        <v>1681</v>
      </c>
      <c r="I193" s="5" t="s">
        <v>1682</v>
      </c>
      <c r="J193" s="5" t="s">
        <v>1683</v>
      </c>
      <c r="K193" s="5" t="s">
        <v>1684</v>
      </c>
      <c r="L193" s="5" t="s">
        <v>291</v>
      </c>
      <c r="M193" s="5" t="s">
        <v>1685</v>
      </c>
      <c r="N193" s="5" t="s">
        <v>236</v>
      </c>
      <c r="O193" s="4" t="s">
        <v>1686</v>
      </c>
    </row>
    <row r="194" customFormat="false" ht="21.75" hidden="false" customHeight="true" outlineLevel="0" collapsed="false">
      <c r="B194" s="6" t="s">
        <v>99</v>
      </c>
      <c r="C194" s="6" t="s">
        <v>100</v>
      </c>
      <c r="D194" s="6" t="s">
        <v>1687</v>
      </c>
      <c r="E194" s="10" t="n">
        <v>2</v>
      </c>
      <c r="F194" s="6" t="s">
        <v>26</v>
      </c>
      <c r="G194" s="7" t="s">
        <v>1688</v>
      </c>
      <c r="H194" s="7" t="s">
        <v>1689</v>
      </c>
      <c r="I194" s="7" t="s">
        <v>1690</v>
      </c>
      <c r="J194" s="7" t="s">
        <v>1691</v>
      </c>
      <c r="K194" s="7" t="s">
        <v>1692</v>
      </c>
      <c r="L194" s="7" t="s">
        <v>260</v>
      </c>
      <c r="M194" s="7" t="s">
        <v>1693</v>
      </c>
      <c r="N194" s="7" t="s">
        <v>236</v>
      </c>
      <c r="O194" s="6" t="s">
        <v>1694</v>
      </c>
    </row>
    <row r="195" customFormat="false" ht="21.75" hidden="false" customHeight="true" outlineLevel="0" collapsed="false">
      <c r="B195" s="4" t="s">
        <v>99</v>
      </c>
      <c r="C195" s="4" t="s">
        <v>100</v>
      </c>
      <c r="D195" s="4" t="s">
        <v>1695</v>
      </c>
      <c r="E195" s="9" t="n">
        <v>2</v>
      </c>
      <c r="F195" s="4" t="s">
        <v>26</v>
      </c>
      <c r="G195" s="5" t="s">
        <v>1696</v>
      </c>
      <c r="H195" s="5" t="s">
        <v>1697</v>
      </c>
      <c r="I195" s="5" t="s">
        <v>1698</v>
      </c>
      <c r="J195" s="5" t="s">
        <v>1699</v>
      </c>
      <c r="K195" s="5" t="s">
        <v>1700</v>
      </c>
      <c r="L195" s="5" t="s">
        <v>291</v>
      </c>
      <c r="M195" s="5" t="s">
        <v>1701</v>
      </c>
      <c r="N195" s="5" t="s">
        <v>236</v>
      </c>
      <c r="O195" s="4" t="s">
        <v>1702</v>
      </c>
    </row>
    <row r="196" customFormat="false" ht="21.75" hidden="false" customHeight="true" outlineLevel="0" collapsed="false">
      <c r="B196" s="6" t="s">
        <v>99</v>
      </c>
      <c r="C196" s="6" t="s">
        <v>100</v>
      </c>
      <c r="D196" s="6" t="s">
        <v>1703</v>
      </c>
      <c r="E196" s="10" t="n">
        <v>1</v>
      </c>
      <c r="F196" s="6" t="s">
        <v>24</v>
      </c>
      <c r="G196" s="7" t="s">
        <v>1704</v>
      </c>
      <c r="H196" s="7" t="s">
        <v>1705</v>
      </c>
      <c r="I196" s="7" t="s">
        <v>1706</v>
      </c>
      <c r="J196" s="7" t="s">
        <v>1707</v>
      </c>
      <c r="K196" s="7" t="s">
        <v>1708</v>
      </c>
      <c r="L196" s="7" t="s">
        <v>260</v>
      </c>
      <c r="M196" s="7" t="s">
        <v>1709</v>
      </c>
      <c r="N196" s="7" t="s">
        <v>236</v>
      </c>
      <c r="O196" s="6" t="s">
        <v>1710</v>
      </c>
    </row>
    <row r="197" customFormat="false" ht="21.75" hidden="false" customHeight="true" outlineLevel="0" collapsed="false">
      <c r="B197" s="4" t="s">
        <v>99</v>
      </c>
      <c r="C197" s="4" t="s">
        <v>100</v>
      </c>
      <c r="D197" s="4" t="s">
        <v>1711</v>
      </c>
      <c r="E197" s="9" t="n">
        <v>2</v>
      </c>
      <c r="F197" s="4" t="s">
        <v>26</v>
      </c>
      <c r="G197" s="5" t="s">
        <v>1712</v>
      </c>
      <c r="H197" s="5" t="s">
        <v>1713</v>
      </c>
      <c r="I197" s="5" t="s">
        <v>1714</v>
      </c>
      <c r="J197" s="5" t="s">
        <v>1715</v>
      </c>
      <c r="K197" s="5" t="s">
        <v>1716</v>
      </c>
      <c r="L197" s="5" t="s">
        <v>291</v>
      </c>
      <c r="M197" s="5" t="s">
        <v>1717</v>
      </c>
      <c r="N197" s="5" t="s">
        <v>236</v>
      </c>
      <c r="O197" s="4" t="s">
        <v>1718</v>
      </c>
    </row>
    <row r="198" customFormat="false" ht="21.75" hidden="false" customHeight="true" outlineLevel="0" collapsed="false">
      <c r="B198" s="6" t="s">
        <v>99</v>
      </c>
      <c r="C198" s="6" t="s">
        <v>100</v>
      </c>
      <c r="D198" s="6" t="s">
        <v>1719</v>
      </c>
      <c r="E198" s="10" t="n">
        <v>1</v>
      </c>
      <c r="F198" s="6" t="s">
        <v>24</v>
      </c>
      <c r="G198" s="7" t="s">
        <v>1720</v>
      </c>
      <c r="H198" s="7" t="s">
        <v>1721</v>
      </c>
      <c r="I198" s="7" t="s">
        <v>1722</v>
      </c>
      <c r="J198" s="7" t="s">
        <v>1723</v>
      </c>
      <c r="K198" s="7" t="s">
        <v>1724</v>
      </c>
      <c r="L198" s="7" t="s">
        <v>291</v>
      </c>
      <c r="M198" s="7" t="s">
        <v>1725</v>
      </c>
      <c r="N198" s="7" t="s">
        <v>236</v>
      </c>
      <c r="O198" s="6" t="s">
        <v>1726</v>
      </c>
    </row>
    <row r="199" customFormat="false" ht="21.75" hidden="false" customHeight="true" outlineLevel="0" collapsed="false">
      <c r="B199" s="4" t="s">
        <v>99</v>
      </c>
      <c r="C199" s="4" t="s">
        <v>100</v>
      </c>
      <c r="D199" s="4" t="s">
        <v>1727</v>
      </c>
      <c r="E199" s="9" t="n">
        <v>1</v>
      </c>
      <c r="F199" s="4" t="s">
        <v>24</v>
      </c>
      <c r="G199" s="5" t="s">
        <v>1728</v>
      </c>
      <c r="H199" s="5" t="s">
        <v>1729</v>
      </c>
      <c r="I199" s="5" t="s">
        <v>1730</v>
      </c>
      <c r="J199" s="5" t="s">
        <v>1731</v>
      </c>
      <c r="K199" s="5" t="s">
        <v>1732</v>
      </c>
      <c r="L199" s="5" t="s">
        <v>244</v>
      </c>
      <c r="M199" s="5" t="s">
        <v>1733</v>
      </c>
      <c r="N199" s="5" t="s">
        <v>236</v>
      </c>
      <c r="O199" s="4" t="s">
        <v>1734</v>
      </c>
    </row>
    <row r="200" customFormat="false" ht="21.75" hidden="false" customHeight="true" outlineLevel="0" collapsed="false">
      <c r="B200" s="6" t="s">
        <v>99</v>
      </c>
      <c r="C200" s="6" t="s">
        <v>100</v>
      </c>
      <c r="D200" s="6" t="s">
        <v>1735</v>
      </c>
      <c r="E200" s="10" t="n">
        <v>1</v>
      </c>
      <c r="F200" s="6" t="s">
        <v>24</v>
      </c>
      <c r="G200" s="7" t="s">
        <v>1736</v>
      </c>
      <c r="H200" s="7" t="s">
        <v>1737</v>
      </c>
      <c r="I200" s="7" t="s">
        <v>1738</v>
      </c>
      <c r="J200" s="7" t="s">
        <v>1739</v>
      </c>
      <c r="K200" s="7" t="s">
        <v>1740</v>
      </c>
      <c r="L200" s="7" t="s">
        <v>234</v>
      </c>
      <c r="M200" s="7" t="s">
        <v>1741</v>
      </c>
      <c r="N200" s="7" t="s">
        <v>236</v>
      </c>
      <c r="O200" s="6" t="s">
        <v>1742</v>
      </c>
    </row>
    <row r="201" customFormat="false" ht="21.75" hidden="false" customHeight="true" outlineLevel="0" collapsed="false">
      <c r="B201" s="4" t="s">
        <v>99</v>
      </c>
      <c r="C201" s="4" t="s">
        <v>100</v>
      </c>
      <c r="D201" s="4" t="s">
        <v>1743</v>
      </c>
      <c r="E201" s="9" t="n">
        <v>2</v>
      </c>
      <c r="F201" s="4" t="s">
        <v>26</v>
      </c>
      <c r="G201" s="5" t="s">
        <v>1744</v>
      </c>
      <c r="H201" s="5" t="s">
        <v>1745</v>
      </c>
      <c r="I201" s="5" t="s">
        <v>1746</v>
      </c>
      <c r="J201" s="5" t="s">
        <v>1747</v>
      </c>
      <c r="K201" s="5" t="s">
        <v>1748</v>
      </c>
      <c r="L201" s="5" t="s">
        <v>244</v>
      </c>
      <c r="M201" s="5" t="s">
        <v>1749</v>
      </c>
      <c r="N201" s="5" t="s">
        <v>236</v>
      </c>
      <c r="O201" s="4" t="s">
        <v>1750</v>
      </c>
    </row>
    <row r="202" customFormat="false" ht="21.75" hidden="false" customHeight="true" outlineLevel="0" collapsed="false">
      <c r="B202" s="6" t="s">
        <v>99</v>
      </c>
      <c r="C202" s="6" t="s">
        <v>100</v>
      </c>
      <c r="D202" s="6" t="s">
        <v>1751</v>
      </c>
      <c r="E202" s="10" t="n">
        <v>3</v>
      </c>
      <c r="F202" s="6" t="s">
        <v>28</v>
      </c>
      <c r="G202" s="7" t="s">
        <v>1752</v>
      </c>
      <c r="H202" s="7" t="s">
        <v>1753</v>
      </c>
      <c r="I202" s="7" t="s">
        <v>1754</v>
      </c>
      <c r="J202" s="7" t="s">
        <v>1755</v>
      </c>
      <c r="K202" s="7" t="s">
        <v>1756</v>
      </c>
      <c r="L202" s="7" t="s">
        <v>260</v>
      </c>
      <c r="M202" s="7" t="s">
        <v>1757</v>
      </c>
      <c r="N202" s="7" t="s">
        <v>236</v>
      </c>
      <c r="O202" s="6" t="s">
        <v>1758</v>
      </c>
    </row>
    <row r="203" customFormat="false" ht="21.75" hidden="false" customHeight="true" outlineLevel="0" collapsed="false">
      <c r="B203" s="4" t="s">
        <v>99</v>
      </c>
      <c r="C203" s="4" t="s">
        <v>100</v>
      </c>
      <c r="D203" s="4" t="s">
        <v>1759</v>
      </c>
      <c r="E203" s="9" t="n">
        <v>4</v>
      </c>
      <c r="F203" s="4" t="s">
        <v>30</v>
      </c>
      <c r="G203" s="5" t="s">
        <v>1760</v>
      </c>
      <c r="H203" s="5" t="s">
        <v>1761</v>
      </c>
      <c r="I203" s="5" t="s">
        <v>1762</v>
      </c>
      <c r="J203" s="5" t="s">
        <v>1763</v>
      </c>
      <c r="K203" s="5" t="s">
        <v>1764</v>
      </c>
      <c r="L203" s="5" t="s">
        <v>234</v>
      </c>
      <c r="M203" s="5" t="s">
        <v>1765</v>
      </c>
      <c r="N203" s="5" t="s">
        <v>236</v>
      </c>
      <c r="O203" s="4" t="s">
        <v>1766</v>
      </c>
    </row>
    <row r="204" customFormat="false" ht="21.75" hidden="false" customHeight="true" outlineLevel="0" collapsed="false">
      <c r="B204" s="6" t="s">
        <v>99</v>
      </c>
      <c r="C204" s="6" t="s">
        <v>100</v>
      </c>
      <c r="D204" s="6" t="s">
        <v>1767</v>
      </c>
      <c r="E204" s="10" t="n">
        <v>4</v>
      </c>
      <c r="F204" s="6" t="s">
        <v>30</v>
      </c>
      <c r="G204" s="7" t="s">
        <v>1768</v>
      </c>
      <c r="H204" s="7" t="s">
        <v>1769</v>
      </c>
      <c r="I204" s="7" t="s">
        <v>1770</v>
      </c>
      <c r="J204" s="7" t="s">
        <v>1771</v>
      </c>
      <c r="K204" s="7"/>
      <c r="L204" s="7"/>
      <c r="M204" s="7" t="s">
        <v>1772</v>
      </c>
      <c r="N204" s="7" t="s">
        <v>236</v>
      </c>
      <c r="O204" s="6" t="s">
        <v>1773</v>
      </c>
    </row>
    <row r="205" customFormat="false" ht="21.75" hidden="false" customHeight="true" outlineLevel="0" collapsed="false">
      <c r="B205" s="4" t="s">
        <v>99</v>
      </c>
      <c r="C205" s="4" t="s">
        <v>100</v>
      </c>
      <c r="D205" s="4" t="s">
        <v>1774</v>
      </c>
      <c r="E205" s="9" t="n">
        <v>4</v>
      </c>
      <c r="F205" s="4" t="s">
        <v>30</v>
      </c>
      <c r="G205" s="5" t="s">
        <v>1775</v>
      </c>
      <c r="H205" s="5" t="s">
        <v>1776</v>
      </c>
      <c r="I205" s="5" t="s">
        <v>1777</v>
      </c>
      <c r="J205" s="5" t="s">
        <v>1778</v>
      </c>
      <c r="K205" s="5" t="s">
        <v>1779</v>
      </c>
      <c r="L205" s="5" t="s">
        <v>234</v>
      </c>
      <c r="M205" s="5" t="s">
        <v>1780</v>
      </c>
      <c r="N205" s="5" t="s">
        <v>236</v>
      </c>
      <c r="O205" s="4" t="s">
        <v>1781</v>
      </c>
    </row>
    <row r="206" customFormat="false" ht="21.75" hidden="false" customHeight="true" outlineLevel="0" collapsed="false">
      <c r="B206" s="6" t="s">
        <v>106</v>
      </c>
      <c r="C206" s="6" t="s">
        <v>100</v>
      </c>
      <c r="D206" s="6" t="s">
        <v>1782</v>
      </c>
      <c r="E206" s="10" t="n">
        <v>0</v>
      </c>
      <c r="F206" s="6" t="s">
        <v>22</v>
      </c>
      <c r="G206" s="7" t="s">
        <v>1783</v>
      </c>
      <c r="H206" s="7" t="s">
        <v>1784</v>
      </c>
      <c r="I206" s="7" t="s">
        <v>1785</v>
      </c>
      <c r="J206" s="7" t="s">
        <v>1786</v>
      </c>
      <c r="K206" s="7"/>
      <c r="L206" s="7"/>
      <c r="M206" s="7"/>
      <c r="N206" s="7" t="s">
        <v>236</v>
      </c>
      <c r="O206" s="6" t="s">
        <v>1787</v>
      </c>
    </row>
    <row r="207" customFormat="false" ht="21.75" hidden="false" customHeight="true" outlineLevel="0" collapsed="false">
      <c r="B207" s="4" t="s">
        <v>106</v>
      </c>
      <c r="C207" s="4" t="s">
        <v>100</v>
      </c>
      <c r="D207" s="4" t="s">
        <v>1788</v>
      </c>
      <c r="E207" s="9" t="n">
        <v>0</v>
      </c>
      <c r="F207" s="4" t="s">
        <v>22</v>
      </c>
      <c r="G207" s="5" t="s">
        <v>1789</v>
      </c>
      <c r="H207" s="5" t="s">
        <v>1790</v>
      </c>
      <c r="I207" s="5" t="s">
        <v>1791</v>
      </c>
      <c r="J207" s="5" t="s">
        <v>1792</v>
      </c>
      <c r="K207" s="5"/>
      <c r="L207" s="5"/>
      <c r="M207" s="5"/>
      <c r="N207" s="5" t="s">
        <v>236</v>
      </c>
      <c r="O207" s="4" t="s">
        <v>1793</v>
      </c>
    </row>
    <row r="208" customFormat="false" ht="21.75" hidden="false" customHeight="true" outlineLevel="0" collapsed="false">
      <c r="B208" s="6" t="s">
        <v>106</v>
      </c>
      <c r="C208" s="6" t="s">
        <v>100</v>
      </c>
      <c r="D208" s="6" t="s">
        <v>1794</v>
      </c>
      <c r="E208" s="10" t="n">
        <v>1</v>
      </c>
      <c r="F208" s="6" t="s">
        <v>24</v>
      </c>
      <c r="G208" s="7" t="s">
        <v>1795</v>
      </c>
      <c r="H208" s="7" t="s">
        <v>1796</v>
      </c>
      <c r="I208" s="7" t="s">
        <v>1797</v>
      </c>
      <c r="J208" s="7" t="s">
        <v>1798</v>
      </c>
      <c r="K208" s="7" t="s">
        <v>1799</v>
      </c>
      <c r="L208" s="7" t="s">
        <v>260</v>
      </c>
      <c r="M208" s="7" t="s">
        <v>1800</v>
      </c>
      <c r="N208" s="7" t="s">
        <v>236</v>
      </c>
      <c r="O208" s="6" t="s">
        <v>1801</v>
      </c>
    </row>
    <row r="209" customFormat="false" ht="21.75" hidden="false" customHeight="true" outlineLevel="0" collapsed="false">
      <c r="B209" s="4" t="s">
        <v>106</v>
      </c>
      <c r="C209" s="4" t="s">
        <v>100</v>
      </c>
      <c r="D209" s="4" t="s">
        <v>1802</v>
      </c>
      <c r="E209" s="9" t="n">
        <v>1</v>
      </c>
      <c r="F209" s="4" t="s">
        <v>24</v>
      </c>
      <c r="G209" s="5" t="s">
        <v>1803</v>
      </c>
      <c r="H209" s="5" t="s">
        <v>1804</v>
      </c>
      <c r="I209" s="5" t="s">
        <v>1805</v>
      </c>
      <c r="J209" s="5" t="s">
        <v>1806</v>
      </c>
      <c r="K209" s="5"/>
      <c r="L209" s="5"/>
      <c r="M209" s="5" t="s">
        <v>1807</v>
      </c>
      <c r="N209" s="5" t="s">
        <v>236</v>
      </c>
      <c r="O209" s="4" t="s">
        <v>1808</v>
      </c>
    </row>
    <row r="210" customFormat="false" ht="21.75" hidden="false" customHeight="true" outlineLevel="0" collapsed="false">
      <c r="B210" s="6" t="s">
        <v>106</v>
      </c>
      <c r="C210" s="6" t="s">
        <v>100</v>
      </c>
      <c r="D210" s="6" t="s">
        <v>1809</v>
      </c>
      <c r="E210" s="10" t="n">
        <v>1</v>
      </c>
      <c r="F210" s="6" t="s">
        <v>24</v>
      </c>
      <c r="G210" s="7" t="s">
        <v>1810</v>
      </c>
      <c r="H210" s="7" t="s">
        <v>1811</v>
      </c>
      <c r="I210" s="7" t="s">
        <v>1812</v>
      </c>
      <c r="J210" s="7" t="s">
        <v>1813</v>
      </c>
      <c r="K210" s="7"/>
      <c r="L210" s="7"/>
      <c r="M210" s="7"/>
      <c r="N210" s="7" t="s">
        <v>236</v>
      </c>
      <c r="O210" s="6" t="s">
        <v>1814</v>
      </c>
    </row>
    <row r="211" customFormat="false" ht="21.75" hidden="false" customHeight="true" outlineLevel="0" collapsed="false">
      <c r="B211" s="4" t="s">
        <v>106</v>
      </c>
      <c r="C211" s="4" t="s">
        <v>100</v>
      </c>
      <c r="D211" s="4" t="s">
        <v>1815</v>
      </c>
      <c r="E211" s="9" t="n">
        <v>1</v>
      </c>
      <c r="F211" s="4" t="s">
        <v>24</v>
      </c>
      <c r="G211" s="5" t="s">
        <v>1816</v>
      </c>
      <c r="H211" s="5" t="s">
        <v>1817</v>
      </c>
      <c r="I211" s="5" t="s">
        <v>1818</v>
      </c>
      <c r="J211" s="5" t="s">
        <v>1819</v>
      </c>
      <c r="K211" s="5" t="s">
        <v>1820</v>
      </c>
      <c r="L211" s="5" t="s">
        <v>260</v>
      </c>
      <c r="M211" s="5" t="s">
        <v>1821</v>
      </c>
      <c r="N211" s="5" t="s">
        <v>236</v>
      </c>
      <c r="O211" s="4" t="s">
        <v>1822</v>
      </c>
    </row>
    <row r="212" customFormat="false" ht="21.75" hidden="false" customHeight="true" outlineLevel="0" collapsed="false">
      <c r="B212" s="6" t="s">
        <v>106</v>
      </c>
      <c r="C212" s="6" t="s">
        <v>100</v>
      </c>
      <c r="D212" s="6" t="s">
        <v>1823</v>
      </c>
      <c r="E212" s="10" t="n">
        <v>1</v>
      </c>
      <c r="F212" s="6" t="s">
        <v>24</v>
      </c>
      <c r="G212" s="7" t="s">
        <v>1824</v>
      </c>
      <c r="H212" s="7" t="s">
        <v>1825</v>
      </c>
      <c r="I212" s="7" t="s">
        <v>1826</v>
      </c>
      <c r="J212" s="7" t="s">
        <v>1827</v>
      </c>
      <c r="K212" s="7" t="s">
        <v>1828</v>
      </c>
      <c r="L212" s="7" t="s">
        <v>291</v>
      </c>
      <c r="M212" s="7" t="s">
        <v>1829</v>
      </c>
      <c r="N212" s="7" t="s">
        <v>236</v>
      </c>
      <c r="O212" s="6" t="s">
        <v>1830</v>
      </c>
    </row>
    <row r="213" customFormat="false" ht="21.75" hidden="false" customHeight="true" outlineLevel="0" collapsed="false">
      <c r="B213" s="4" t="s">
        <v>106</v>
      </c>
      <c r="C213" s="4" t="s">
        <v>100</v>
      </c>
      <c r="D213" s="4" t="s">
        <v>1831</v>
      </c>
      <c r="E213" s="9" t="n">
        <v>1</v>
      </c>
      <c r="F213" s="4" t="s">
        <v>24</v>
      </c>
      <c r="G213" s="5" t="s">
        <v>1832</v>
      </c>
      <c r="H213" s="5" t="s">
        <v>1833</v>
      </c>
      <c r="I213" s="5" t="s">
        <v>1834</v>
      </c>
      <c r="J213" s="5" t="s">
        <v>1835</v>
      </c>
      <c r="K213" s="5" t="s">
        <v>1836</v>
      </c>
      <c r="L213" s="5" t="s">
        <v>244</v>
      </c>
      <c r="M213" s="5" t="s">
        <v>1837</v>
      </c>
      <c r="N213" s="5" t="s">
        <v>236</v>
      </c>
      <c r="O213" s="4" t="s">
        <v>1838</v>
      </c>
    </row>
    <row r="214" customFormat="false" ht="21.75" hidden="false" customHeight="true" outlineLevel="0" collapsed="false">
      <c r="B214" s="6" t="s">
        <v>106</v>
      </c>
      <c r="C214" s="6" t="s">
        <v>100</v>
      </c>
      <c r="D214" s="6" t="s">
        <v>1839</v>
      </c>
      <c r="E214" s="10" t="n">
        <v>1</v>
      </c>
      <c r="F214" s="6" t="s">
        <v>24</v>
      </c>
      <c r="G214" s="7" t="s">
        <v>1840</v>
      </c>
      <c r="H214" s="7" t="s">
        <v>1841</v>
      </c>
      <c r="I214" s="7" t="s">
        <v>1842</v>
      </c>
      <c r="J214" s="7" t="s">
        <v>1843</v>
      </c>
      <c r="K214" s="7" t="s">
        <v>1844</v>
      </c>
      <c r="L214" s="7" t="s">
        <v>389</v>
      </c>
      <c r="M214" s="7" t="s">
        <v>1845</v>
      </c>
      <c r="N214" s="7" t="s">
        <v>236</v>
      </c>
      <c r="O214" s="6" t="s">
        <v>1846</v>
      </c>
    </row>
    <row r="215" customFormat="false" ht="21.75" hidden="false" customHeight="true" outlineLevel="0" collapsed="false">
      <c r="B215" s="4" t="s">
        <v>106</v>
      </c>
      <c r="C215" s="4" t="s">
        <v>100</v>
      </c>
      <c r="D215" s="4" t="s">
        <v>1847</v>
      </c>
      <c r="E215" s="9" t="n">
        <v>2</v>
      </c>
      <c r="F215" s="4" t="s">
        <v>26</v>
      </c>
      <c r="G215" s="5" t="s">
        <v>1848</v>
      </c>
      <c r="H215" s="5" t="s">
        <v>1849</v>
      </c>
      <c r="I215" s="5" t="s">
        <v>1850</v>
      </c>
      <c r="J215" s="5" t="s">
        <v>1851</v>
      </c>
      <c r="K215" s="5" t="s">
        <v>1852</v>
      </c>
      <c r="L215" s="5" t="s">
        <v>389</v>
      </c>
      <c r="M215" s="5" t="s">
        <v>1853</v>
      </c>
      <c r="N215" s="5" t="s">
        <v>236</v>
      </c>
      <c r="O215" s="4" t="s">
        <v>1854</v>
      </c>
    </row>
    <row r="216" customFormat="false" ht="21.75" hidden="false" customHeight="true" outlineLevel="0" collapsed="false">
      <c r="B216" s="6" t="s">
        <v>106</v>
      </c>
      <c r="C216" s="6" t="s">
        <v>100</v>
      </c>
      <c r="D216" s="6" t="s">
        <v>1855</v>
      </c>
      <c r="E216" s="10" t="n">
        <v>2</v>
      </c>
      <c r="F216" s="6" t="s">
        <v>26</v>
      </c>
      <c r="G216" s="7" t="s">
        <v>1856</v>
      </c>
      <c r="H216" s="7" t="s">
        <v>1857</v>
      </c>
      <c r="I216" s="7" t="s">
        <v>1858</v>
      </c>
      <c r="J216" s="7" t="s">
        <v>1859</v>
      </c>
      <c r="K216" s="7" t="s">
        <v>1860</v>
      </c>
      <c r="L216" s="7" t="s">
        <v>260</v>
      </c>
      <c r="M216" s="7"/>
      <c r="N216" s="7" t="s">
        <v>236</v>
      </c>
      <c r="O216" s="6" t="s">
        <v>1861</v>
      </c>
    </row>
    <row r="217" customFormat="false" ht="21.75" hidden="false" customHeight="true" outlineLevel="0" collapsed="false">
      <c r="B217" s="4" t="s">
        <v>106</v>
      </c>
      <c r="C217" s="4" t="s">
        <v>100</v>
      </c>
      <c r="D217" s="4" t="s">
        <v>1862</v>
      </c>
      <c r="E217" s="9" t="n">
        <v>2</v>
      </c>
      <c r="F217" s="4" t="s">
        <v>26</v>
      </c>
      <c r="G217" s="5" t="s">
        <v>1863</v>
      </c>
      <c r="H217" s="5" t="s">
        <v>1864</v>
      </c>
      <c r="I217" s="5" t="s">
        <v>1865</v>
      </c>
      <c r="J217" s="5" t="s">
        <v>1866</v>
      </c>
      <c r="K217" s="5" t="s">
        <v>1867</v>
      </c>
      <c r="L217" s="5" t="s">
        <v>260</v>
      </c>
      <c r="M217" s="5" t="s">
        <v>1868</v>
      </c>
      <c r="N217" s="5" t="s">
        <v>236</v>
      </c>
      <c r="O217" s="4" t="s">
        <v>1869</v>
      </c>
    </row>
    <row r="218" customFormat="false" ht="21.75" hidden="false" customHeight="true" outlineLevel="0" collapsed="false">
      <c r="B218" s="6" t="s">
        <v>106</v>
      </c>
      <c r="C218" s="6" t="s">
        <v>100</v>
      </c>
      <c r="D218" s="6" t="s">
        <v>1870</v>
      </c>
      <c r="E218" s="10" t="n">
        <v>3</v>
      </c>
      <c r="F218" s="6" t="s">
        <v>28</v>
      </c>
      <c r="G218" s="7" t="s">
        <v>1871</v>
      </c>
      <c r="H218" s="7" t="s">
        <v>1872</v>
      </c>
      <c r="I218" s="7" t="s">
        <v>1873</v>
      </c>
      <c r="J218" s="7" t="s">
        <v>1874</v>
      </c>
      <c r="K218" s="7"/>
      <c r="L218" s="7"/>
      <c r="M218" s="7" t="s">
        <v>1875</v>
      </c>
      <c r="N218" s="7" t="s">
        <v>236</v>
      </c>
      <c r="O218" s="6" t="s">
        <v>1876</v>
      </c>
    </row>
    <row r="219" customFormat="false" ht="21.75" hidden="false" customHeight="true" outlineLevel="0" collapsed="false">
      <c r="B219" s="4" t="s">
        <v>106</v>
      </c>
      <c r="C219" s="4" t="s">
        <v>100</v>
      </c>
      <c r="D219" s="4" t="s">
        <v>1877</v>
      </c>
      <c r="E219" s="9" t="n">
        <v>3</v>
      </c>
      <c r="F219" s="4" t="s">
        <v>28</v>
      </c>
      <c r="G219" s="5" t="s">
        <v>1878</v>
      </c>
      <c r="H219" s="5" t="s">
        <v>1879</v>
      </c>
      <c r="I219" s="5" t="s">
        <v>1880</v>
      </c>
      <c r="J219" s="5" t="s">
        <v>1881</v>
      </c>
      <c r="K219" s="5"/>
      <c r="L219" s="5"/>
      <c r="M219" s="5" t="s">
        <v>1882</v>
      </c>
      <c r="N219" s="5" t="s">
        <v>236</v>
      </c>
      <c r="O219" s="4" t="s">
        <v>1883</v>
      </c>
    </row>
    <row r="220" customFormat="false" ht="21.75" hidden="false" customHeight="true" outlineLevel="0" collapsed="false">
      <c r="B220" s="6" t="s">
        <v>106</v>
      </c>
      <c r="C220" s="6" t="s">
        <v>100</v>
      </c>
      <c r="D220" s="6" t="s">
        <v>1884</v>
      </c>
      <c r="E220" s="10" t="n">
        <v>3</v>
      </c>
      <c r="F220" s="6" t="s">
        <v>28</v>
      </c>
      <c r="G220" s="7" t="s">
        <v>1885</v>
      </c>
      <c r="H220" s="7" t="s">
        <v>1886</v>
      </c>
      <c r="I220" s="7" t="s">
        <v>1887</v>
      </c>
      <c r="J220" s="7" t="s">
        <v>1888</v>
      </c>
      <c r="K220" s="7"/>
      <c r="L220" s="7"/>
      <c r="M220" s="7"/>
      <c r="N220" s="7" t="s">
        <v>236</v>
      </c>
      <c r="O220" s="6" t="s">
        <v>1889</v>
      </c>
    </row>
    <row r="221" customFormat="false" ht="21.75" hidden="false" customHeight="true" outlineLevel="0" collapsed="false">
      <c r="B221" s="4" t="s">
        <v>106</v>
      </c>
      <c r="C221" s="4" t="s">
        <v>100</v>
      </c>
      <c r="D221" s="4" t="s">
        <v>1890</v>
      </c>
      <c r="E221" s="9" t="n">
        <v>4</v>
      </c>
      <c r="F221" s="4" t="s">
        <v>30</v>
      </c>
      <c r="G221" s="5" t="s">
        <v>1891</v>
      </c>
      <c r="H221" s="5" t="s">
        <v>1892</v>
      </c>
      <c r="I221" s="5" t="s">
        <v>1893</v>
      </c>
      <c r="J221" s="5" t="s">
        <v>1894</v>
      </c>
      <c r="K221" s="5" t="s">
        <v>1895</v>
      </c>
      <c r="L221" s="5" t="s">
        <v>234</v>
      </c>
      <c r="M221" s="5" t="s">
        <v>1896</v>
      </c>
      <c r="N221" s="5" t="s">
        <v>236</v>
      </c>
      <c r="O221" s="4" t="s">
        <v>1897</v>
      </c>
    </row>
    <row r="222" customFormat="false" ht="21.75" hidden="false" customHeight="true" outlineLevel="0" collapsed="false">
      <c r="B222" s="6" t="s">
        <v>106</v>
      </c>
      <c r="C222" s="6" t="s">
        <v>100</v>
      </c>
      <c r="D222" s="6" t="s">
        <v>1898</v>
      </c>
      <c r="E222" s="10" t="n">
        <v>4</v>
      </c>
      <c r="F222" s="6" t="s">
        <v>30</v>
      </c>
      <c r="G222" s="7" t="s">
        <v>1899</v>
      </c>
      <c r="H222" s="7" t="s">
        <v>1900</v>
      </c>
      <c r="I222" s="7" t="s">
        <v>1901</v>
      </c>
      <c r="J222" s="7" t="s">
        <v>1902</v>
      </c>
      <c r="K222" s="7" t="s">
        <v>1903</v>
      </c>
      <c r="L222" s="7" t="s">
        <v>234</v>
      </c>
      <c r="M222" s="7" t="s">
        <v>1904</v>
      </c>
      <c r="N222" s="7" t="s">
        <v>236</v>
      </c>
      <c r="O222" s="6" t="s">
        <v>1905</v>
      </c>
    </row>
    <row r="223" customFormat="false" ht="21.75" hidden="false" customHeight="true" outlineLevel="0" collapsed="false">
      <c r="B223" s="4" t="s">
        <v>106</v>
      </c>
      <c r="C223" s="4" t="s">
        <v>100</v>
      </c>
      <c r="D223" s="4" t="s">
        <v>1906</v>
      </c>
      <c r="E223" s="9" t="n">
        <v>0</v>
      </c>
      <c r="F223" s="4" t="s">
        <v>22</v>
      </c>
      <c r="G223" s="5" t="s">
        <v>1907</v>
      </c>
      <c r="H223" s="5" t="s">
        <v>1908</v>
      </c>
      <c r="I223" s="5" t="s">
        <v>1909</v>
      </c>
      <c r="J223" s="5" t="s">
        <v>1910</v>
      </c>
      <c r="K223" s="5"/>
      <c r="L223" s="5"/>
      <c r="M223" s="5" t="s">
        <v>1911</v>
      </c>
      <c r="N223" s="5" t="s">
        <v>236</v>
      </c>
      <c r="O223" s="4" t="s">
        <v>1912</v>
      </c>
    </row>
    <row r="224" customFormat="false" ht="21.75" hidden="false" customHeight="true" outlineLevel="0" collapsed="false">
      <c r="B224" s="6" t="s">
        <v>112</v>
      </c>
      <c r="C224" s="6" t="s">
        <v>100</v>
      </c>
      <c r="D224" s="6" t="s">
        <v>1913</v>
      </c>
      <c r="E224" s="10" t="n">
        <v>0</v>
      </c>
      <c r="F224" s="6" t="s">
        <v>22</v>
      </c>
      <c r="G224" s="7" t="s">
        <v>1914</v>
      </c>
      <c r="H224" s="7" t="s">
        <v>1915</v>
      </c>
      <c r="I224" s="7" t="s">
        <v>1916</v>
      </c>
      <c r="J224" s="7" t="s">
        <v>1917</v>
      </c>
      <c r="K224" s="7" t="s">
        <v>1918</v>
      </c>
      <c r="L224" s="7" t="s">
        <v>260</v>
      </c>
      <c r="M224" s="7" t="s">
        <v>1919</v>
      </c>
      <c r="N224" s="7" t="s">
        <v>236</v>
      </c>
      <c r="O224" s="6" t="s">
        <v>1920</v>
      </c>
    </row>
    <row r="225" customFormat="false" ht="21.75" hidden="false" customHeight="true" outlineLevel="0" collapsed="false">
      <c r="B225" s="4" t="s">
        <v>112</v>
      </c>
      <c r="C225" s="4" t="s">
        <v>100</v>
      </c>
      <c r="D225" s="4" t="s">
        <v>1921</v>
      </c>
      <c r="E225" s="9" t="n">
        <v>0</v>
      </c>
      <c r="F225" s="4" t="s">
        <v>22</v>
      </c>
      <c r="G225" s="5" t="s">
        <v>1922</v>
      </c>
      <c r="H225" s="5" t="s">
        <v>1923</v>
      </c>
      <c r="I225" s="5" t="s">
        <v>1924</v>
      </c>
      <c r="J225" s="5" t="s">
        <v>1925</v>
      </c>
      <c r="K225" s="5"/>
      <c r="L225" s="5"/>
      <c r="M225" s="5" t="s">
        <v>1926</v>
      </c>
      <c r="N225" s="5" t="s">
        <v>236</v>
      </c>
      <c r="O225" s="4" t="s">
        <v>1927</v>
      </c>
    </row>
    <row r="226" customFormat="false" ht="21.75" hidden="false" customHeight="true" outlineLevel="0" collapsed="false">
      <c r="B226" s="6" t="s">
        <v>112</v>
      </c>
      <c r="C226" s="6" t="s">
        <v>100</v>
      </c>
      <c r="D226" s="6" t="s">
        <v>1928</v>
      </c>
      <c r="E226" s="10" t="n">
        <v>1</v>
      </c>
      <c r="F226" s="6" t="s">
        <v>24</v>
      </c>
      <c r="G226" s="7" t="s">
        <v>1929</v>
      </c>
      <c r="H226" s="7" t="s">
        <v>1930</v>
      </c>
      <c r="I226" s="7" t="s">
        <v>1931</v>
      </c>
      <c r="J226" s="7" t="s">
        <v>1932</v>
      </c>
      <c r="K226" s="7" t="s">
        <v>1933</v>
      </c>
      <c r="L226" s="7" t="s">
        <v>389</v>
      </c>
      <c r="M226" s="7" t="s">
        <v>1934</v>
      </c>
      <c r="N226" s="7" t="s">
        <v>236</v>
      </c>
      <c r="O226" s="6" t="s">
        <v>1935</v>
      </c>
    </row>
    <row r="227" customFormat="false" ht="21.75" hidden="false" customHeight="true" outlineLevel="0" collapsed="false">
      <c r="B227" s="4" t="s">
        <v>112</v>
      </c>
      <c r="C227" s="4" t="s">
        <v>100</v>
      </c>
      <c r="D227" s="4" t="s">
        <v>1936</v>
      </c>
      <c r="E227" s="9" t="n">
        <v>1</v>
      </c>
      <c r="F227" s="4" t="s">
        <v>24</v>
      </c>
      <c r="G227" s="5" t="s">
        <v>1937</v>
      </c>
      <c r="H227" s="5" t="s">
        <v>1938</v>
      </c>
      <c r="I227" s="5" t="s">
        <v>1939</v>
      </c>
      <c r="J227" s="5" t="s">
        <v>1940</v>
      </c>
      <c r="K227" s="5" t="s">
        <v>1941</v>
      </c>
      <c r="L227" s="5" t="s">
        <v>244</v>
      </c>
      <c r="M227" s="5" t="s">
        <v>1942</v>
      </c>
      <c r="N227" s="5" t="s">
        <v>236</v>
      </c>
      <c r="O227" s="4" t="s">
        <v>1943</v>
      </c>
    </row>
    <row r="228" customFormat="false" ht="21.75" hidden="false" customHeight="true" outlineLevel="0" collapsed="false">
      <c r="B228" s="6" t="s">
        <v>112</v>
      </c>
      <c r="C228" s="6" t="s">
        <v>100</v>
      </c>
      <c r="D228" s="6" t="s">
        <v>1944</v>
      </c>
      <c r="E228" s="10" t="n">
        <v>1</v>
      </c>
      <c r="F228" s="6" t="s">
        <v>24</v>
      </c>
      <c r="G228" s="7" t="s">
        <v>1945</v>
      </c>
      <c r="H228" s="7" t="s">
        <v>1946</v>
      </c>
      <c r="I228" s="7" t="s">
        <v>1947</v>
      </c>
      <c r="J228" s="7" t="s">
        <v>1948</v>
      </c>
      <c r="K228" s="7" t="s">
        <v>1949</v>
      </c>
      <c r="L228" s="7" t="s">
        <v>335</v>
      </c>
      <c r="M228" s="7" t="s">
        <v>1950</v>
      </c>
      <c r="N228" s="7" t="s">
        <v>236</v>
      </c>
      <c r="O228" s="6" t="s">
        <v>1951</v>
      </c>
    </row>
    <row r="229" customFormat="false" ht="21.75" hidden="false" customHeight="true" outlineLevel="0" collapsed="false">
      <c r="B229" s="4" t="s">
        <v>112</v>
      </c>
      <c r="C229" s="4" t="s">
        <v>100</v>
      </c>
      <c r="D229" s="4" t="s">
        <v>1952</v>
      </c>
      <c r="E229" s="9" t="n">
        <v>0</v>
      </c>
      <c r="F229" s="4" t="s">
        <v>22</v>
      </c>
      <c r="G229" s="5" t="s">
        <v>1953</v>
      </c>
      <c r="H229" s="5" t="s">
        <v>1954</v>
      </c>
      <c r="I229" s="5" t="s">
        <v>1955</v>
      </c>
      <c r="J229" s="5" t="s">
        <v>1956</v>
      </c>
      <c r="K229" s="5"/>
      <c r="L229" s="5"/>
      <c r="M229" s="5"/>
      <c r="N229" s="5" t="s">
        <v>236</v>
      </c>
      <c r="O229" s="4" t="s">
        <v>1957</v>
      </c>
    </row>
    <row r="230" customFormat="false" ht="21.75" hidden="false" customHeight="true" outlineLevel="0" collapsed="false">
      <c r="B230" s="6" t="s">
        <v>112</v>
      </c>
      <c r="C230" s="6" t="s">
        <v>100</v>
      </c>
      <c r="D230" s="6" t="s">
        <v>1958</v>
      </c>
      <c r="E230" s="10" t="n">
        <v>1</v>
      </c>
      <c r="F230" s="6" t="s">
        <v>24</v>
      </c>
      <c r="G230" s="7" t="s">
        <v>1959</v>
      </c>
      <c r="H230" s="7" t="s">
        <v>1960</v>
      </c>
      <c r="I230" s="7" t="s">
        <v>1961</v>
      </c>
      <c r="J230" s="7" t="s">
        <v>1962</v>
      </c>
      <c r="K230" s="7"/>
      <c r="L230" s="7"/>
      <c r="M230" s="7" t="s">
        <v>1963</v>
      </c>
      <c r="N230" s="7" t="s">
        <v>236</v>
      </c>
      <c r="O230" s="6" t="s">
        <v>1964</v>
      </c>
    </row>
    <row r="231" customFormat="false" ht="21.75" hidden="false" customHeight="true" outlineLevel="0" collapsed="false">
      <c r="B231" s="4" t="s">
        <v>112</v>
      </c>
      <c r="C231" s="4" t="s">
        <v>100</v>
      </c>
      <c r="D231" s="4" t="s">
        <v>1965</v>
      </c>
      <c r="E231" s="9" t="n">
        <v>2</v>
      </c>
      <c r="F231" s="4" t="s">
        <v>26</v>
      </c>
      <c r="G231" s="5" t="s">
        <v>1966</v>
      </c>
      <c r="H231" s="5" t="s">
        <v>1967</v>
      </c>
      <c r="I231" s="5" t="s">
        <v>1968</v>
      </c>
      <c r="J231" s="5" t="s">
        <v>1969</v>
      </c>
      <c r="K231" s="5" t="s">
        <v>1970</v>
      </c>
      <c r="L231" s="5" t="s">
        <v>291</v>
      </c>
      <c r="M231" s="5" t="s">
        <v>1971</v>
      </c>
      <c r="N231" s="5" t="s">
        <v>236</v>
      </c>
      <c r="O231" s="4" t="s">
        <v>1972</v>
      </c>
    </row>
    <row r="232" customFormat="false" ht="21.75" hidden="false" customHeight="true" outlineLevel="0" collapsed="false">
      <c r="B232" s="6" t="s">
        <v>112</v>
      </c>
      <c r="C232" s="6" t="s">
        <v>100</v>
      </c>
      <c r="D232" s="6" t="s">
        <v>1973</v>
      </c>
      <c r="E232" s="10" t="n">
        <v>2</v>
      </c>
      <c r="F232" s="6" t="s">
        <v>26</v>
      </c>
      <c r="G232" s="7" t="s">
        <v>1974</v>
      </c>
      <c r="H232" s="7" t="s">
        <v>1975</v>
      </c>
      <c r="I232" s="7" t="s">
        <v>1976</v>
      </c>
      <c r="J232" s="7" t="s">
        <v>1977</v>
      </c>
      <c r="K232" s="7" t="s">
        <v>1978</v>
      </c>
      <c r="L232" s="7" t="s">
        <v>335</v>
      </c>
      <c r="M232" s="7" t="s">
        <v>1979</v>
      </c>
      <c r="N232" s="7" t="s">
        <v>236</v>
      </c>
      <c r="O232" s="6" t="s">
        <v>1980</v>
      </c>
    </row>
    <row r="233" customFormat="false" ht="21.75" hidden="false" customHeight="true" outlineLevel="0" collapsed="false">
      <c r="B233" s="4" t="s">
        <v>112</v>
      </c>
      <c r="C233" s="4" t="s">
        <v>100</v>
      </c>
      <c r="D233" s="4" t="s">
        <v>1981</v>
      </c>
      <c r="E233" s="9" t="n">
        <v>2</v>
      </c>
      <c r="F233" s="4" t="s">
        <v>26</v>
      </c>
      <c r="G233" s="5" t="s">
        <v>1982</v>
      </c>
      <c r="H233" s="5" t="s">
        <v>1983</v>
      </c>
      <c r="I233" s="5" t="s">
        <v>1984</v>
      </c>
      <c r="J233" s="5" t="s">
        <v>1985</v>
      </c>
      <c r="K233" s="5" t="s">
        <v>1986</v>
      </c>
      <c r="L233" s="5" t="s">
        <v>389</v>
      </c>
      <c r="M233" s="5" t="s">
        <v>1987</v>
      </c>
      <c r="N233" s="5" t="s">
        <v>236</v>
      </c>
      <c r="O233" s="4" t="s">
        <v>1988</v>
      </c>
    </row>
    <row r="234" customFormat="false" ht="21.75" hidden="false" customHeight="true" outlineLevel="0" collapsed="false">
      <c r="B234" s="6" t="s">
        <v>112</v>
      </c>
      <c r="C234" s="6" t="s">
        <v>100</v>
      </c>
      <c r="D234" s="6" t="s">
        <v>1989</v>
      </c>
      <c r="E234" s="10" t="n">
        <v>3</v>
      </c>
      <c r="F234" s="6" t="s">
        <v>28</v>
      </c>
      <c r="G234" s="7" t="s">
        <v>1990</v>
      </c>
      <c r="H234" s="7" t="s">
        <v>1991</v>
      </c>
      <c r="I234" s="7" t="s">
        <v>1992</v>
      </c>
      <c r="J234" s="7" t="s">
        <v>1993</v>
      </c>
      <c r="K234" s="7"/>
      <c r="L234" s="7"/>
      <c r="M234" s="7" t="s">
        <v>1994</v>
      </c>
      <c r="N234" s="7" t="s">
        <v>236</v>
      </c>
      <c r="O234" s="6" t="s">
        <v>1995</v>
      </c>
    </row>
    <row r="235" customFormat="false" ht="21.75" hidden="false" customHeight="true" outlineLevel="0" collapsed="false">
      <c r="B235" s="4" t="s">
        <v>112</v>
      </c>
      <c r="C235" s="4" t="s">
        <v>100</v>
      </c>
      <c r="D235" s="4" t="s">
        <v>1996</v>
      </c>
      <c r="E235" s="9" t="n">
        <v>2</v>
      </c>
      <c r="F235" s="4" t="s">
        <v>26</v>
      </c>
      <c r="G235" s="5" t="s">
        <v>1997</v>
      </c>
      <c r="H235" s="5" t="s">
        <v>1998</v>
      </c>
      <c r="I235" s="5" t="s">
        <v>1999</v>
      </c>
      <c r="J235" s="5" t="s">
        <v>2000</v>
      </c>
      <c r="K235" s="5" t="s">
        <v>2001</v>
      </c>
      <c r="L235" s="5" t="s">
        <v>389</v>
      </c>
      <c r="M235" s="5" t="s">
        <v>2002</v>
      </c>
      <c r="N235" s="5" t="s">
        <v>236</v>
      </c>
      <c r="O235" s="4" t="s">
        <v>2003</v>
      </c>
    </row>
    <row r="236" customFormat="false" ht="21.75" hidden="false" customHeight="true" outlineLevel="0" collapsed="false">
      <c r="B236" s="6" t="s">
        <v>112</v>
      </c>
      <c r="C236" s="6" t="s">
        <v>100</v>
      </c>
      <c r="D236" s="6" t="s">
        <v>2004</v>
      </c>
      <c r="E236" s="10" t="n">
        <v>1</v>
      </c>
      <c r="F236" s="6" t="s">
        <v>24</v>
      </c>
      <c r="G236" s="7" t="s">
        <v>2005</v>
      </c>
      <c r="H236" s="7" t="s">
        <v>2006</v>
      </c>
      <c r="I236" s="7" t="s">
        <v>2007</v>
      </c>
      <c r="J236" s="7" t="s">
        <v>2008</v>
      </c>
      <c r="K236" s="7" t="s">
        <v>2009</v>
      </c>
      <c r="L236" s="7" t="s">
        <v>469</v>
      </c>
      <c r="M236" s="7" t="s">
        <v>2010</v>
      </c>
      <c r="N236" s="7" t="s">
        <v>236</v>
      </c>
      <c r="O236" s="6" t="s">
        <v>2011</v>
      </c>
    </row>
    <row r="237" customFormat="false" ht="21.75" hidden="false" customHeight="true" outlineLevel="0" collapsed="false">
      <c r="B237" s="4" t="s">
        <v>112</v>
      </c>
      <c r="C237" s="4" t="s">
        <v>100</v>
      </c>
      <c r="D237" s="4" t="s">
        <v>2012</v>
      </c>
      <c r="E237" s="9" t="n">
        <v>1</v>
      </c>
      <c r="F237" s="4" t="s">
        <v>24</v>
      </c>
      <c r="G237" s="5" t="s">
        <v>2013</v>
      </c>
      <c r="H237" s="5" t="s">
        <v>2014</v>
      </c>
      <c r="I237" s="5" t="s">
        <v>2015</v>
      </c>
      <c r="J237" s="5" t="s">
        <v>2016</v>
      </c>
      <c r="K237" s="5" t="s">
        <v>2017</v>
      </c>
      <c r="L237" s="5" t="s">
        <v>244</v>
      </c>
      <c r="M237" s="5" t="s">
        <v>2018</v>
      </c>
      <c r="N237" s="5" t="s">
        <v>236</v>
      </c>
      <c r="O237" s="4" t="s">
        <v>2019</v>
      </c>
    </row>
    <row r="238" customFormat="false" ht="21.75" hidden="false" customHeight="true" outlineLevel="0" collapsed="false">
      <c r="B238" s="6" t="s">
        <v>112</v>
      </c>
      <c r="C238" s="6" t="s">
        <v>100</v>
      </c>
      <c r="D238" s="6" t="s">
        <v>2020</v>
      </c>
      <c r="E238" s="10" t="n">
        <v>2</v>
      </c>
      <c r="F238" s="6" t="s">
        <v>26</v>
      </c>
      <c r="G238" s="7" t="s">
        <v>2021</v>
      </c>
      <c r="H238" s="7" t="s">
        <v>2022</v>
      </c>
      <c r="I238" s="7" t="s">
        <v>2023</v>
      </c>
      <c r="J238" s="7" t="s">
        <v>2024</v>
      </c>
      <c r="K238" s="7" t="s">
        <v>2025</v>
      </c>
      <c r="L238" s="7" t="s">
        <v>291</v>
      </c>
      <c r="M238" s="7" t="s">
        <v>2026</v>
      </c>
      <c r="N238" s="7" t="s">
        <v>236</v>
      </c>
      <c r="O238" s="6" t="s">
        <v>2027</v>
      </c>
    </row>
    <row r="239" customFormat="false" ht="21.75" hidden="false" customHeight="true" outlineLevel="0" collapsed="false">
      <c r="B239" s="4" t="s">
        <v>112</v>
      </c>
      <c r="C239" s="4" t="s">
        <v>100</v>
      </c>
      <c r="D239" s="4" t="s">
        <v>2028</v>
      </c>
      <c r="E239" s="9" t="n">
        <v>1</v>
      </c>
      <c r="F239" s="4" t="s">
        <v>24</v>
      </c>
      <c r="G239" s="5" t="s">
        <v>2029</v>
      </c>
      <c r="H239" s="5" t="s">
        <v>2030</v>
      </c>
      <c r="I239" s="5" t="s">
        <v>2031</v>
      </c>
      <c r="J239" s="5" t="s">
        <v>2032</v>
      </c>
      <c r="K239" s="5" t="s">
        <v>2033</v>
      </c>
      <c r="L239" s="5" t="s">
        <v>335</v>
      </c>
      <c r="M239" s="5" t="s">
        <v>2034</v>
      </c>
      <c r="N239" s="5" t="s">
        <v>236</v>
      </c>
      <c r="O239" s="4" t="s">
        <v>2035</v>
      </c>
    </row>
    <row r="240" customFormat="false" ht="21.75" hidden="false" customHeight="true" outlineLevel="0" collapsed="false">
      <c r="B240" s="6" t="s">
        <v>112</v>
      </c>
      <c r="C240" s="6" t="s">
        <v>100</v>
      </c>
      <c r="D240" s="6" t="s">
        <v>2036</v>
      </c>
      <c r="E240" s="10" t="n">
        <v>4</v>
      </c>
      <c r="F240" s="6" t="s">
        <v>30</v>
      </c>
      <c r="G240" s="7" t="s">
        <v>2037</v>
      </c>
      <c r="H240" s="7" t="s">
        <v>2038</v>
      </c>
      <c r="I240" s="7" t="s">
        <v>2039</v>
      </c>
      <c r="J240" s="7" t="s">
        <v>2040</v>
      </c>
      <c r="K240" s="7" t="s">
        <v>2041</v>
      </c>
      <c r="L240" s="7" t="s">
        <v>234</v>
      </c>
      <c r="M240" s="7" t="s">
        <v>2042</v>
      </c>
      <c r="N240" s="7" t="s">
        <v>236</v>
      </c>
      <c r="O240" s="6" t="s">
        <v>2043</v>
      </c>
    </row>
    <row r="241" customFormat="false" ht="21.75" hidden="false" customHeight="true" outlineLevel="0" collapsed="false">
      <c r="B241" s="4" t="s">
        <v>112</v>
      </c>
      <c r="C241" s="4" t="s">
        <v>100</v>
      </c>
      <c r="D241" s="4" t="s">
        <v>2044</v>
      </c>
      <c r="E241" s="9" t="n">
        <v>3</v>
      </c>
      <c r="F241" s="4" t="s">
        <v>28</v>
      </c>
      <c r="G241" s="5" t="s">
        <v>2045</v>
      </c>
      <c r="H241" s="5" t="s">
        <v>2046</v>
      </c>
      <c r="I241" s="5" t="s">
        <v>2047</v>
      </c>
      <c r="J241" s="5" t="s">
        <v>2048</v>
      </c>
      <c r="K241" s="5"/>
      <c r="L241" s="5"/>
      <c r="M241" s="5"/>
      <c r="N241" s="5" t="s">
        <v>236</v>
      </c>
      <c r="O241" s="4" t="s">
        <v>2049</v>
      </c>
    </row>
    <row r="242" customFormat="false" ht="21.75" hidden="false" customHeight="true" outlineLevel="0" collapsed="false">
      <c r="B242" s="6" t="s">
        <v>112</v>
      </c>
      <c r="C242" s="6" t="s">
        <v>100</v>
      </c>
      <c r="D242" s="6" t="s">
        <v>2050</v>
      </c>
      <c r="E242" s="10" t="n">
        <v>4</v>
      </c>
      <c r="F242" s="6" t="s">
        <v>30</v>
      </c>
      <c r="G242" s="7" t="s">
        <v>2051</v>
      </c>
      <c r="H242" s="7" t="s">
        <v>2052</v>
      </c>
      <c r="I242" s="7" t="s">
        <v>2053</v>
      </c>
      <c r="J242" s="7" t="s">
        <v>2054</v>
      </c>
      <c r="K242" s="7" t="s">
        <v>2055</v>
      </c>
      <c r="L242" s="7" t="s">
        <v>234</v>
      </c>
      <c r="M242" s="7" t="s">
        <v>2056</v>
      </c>
      <c r="N242" s="7" t="s">
        <v>236</v>
      </c>
      <c r="O242" s="6" t="s">
        <v>2057</v>
      </c>
    </row>
    <row r="243" customFormat="false" ht="21.75" hidden="false" customHeight="true" outlineLevel="0" collapsed="false">
      <c r="B243" s="4" t="s">
        <v>112</v>
      </c>
      <c r="C243" s="4" t="s">
        <v>100</v>
      </c>
      <c r="D243" s="4" t="s">
        <v>2058</v>
      </c>
      <c r="E243" s="9" t="n">
        <v>1</v>
      </c>
      <c r="F243" s="4" t="s">
        <v>24</v>
      </c>
      <c r="G243" s="5" t="s">
        <v>2059</v>
      </c>
      <c r="H243" s="5" t="s">
        <v>2060</v>
      </c>
      <c r="I243" s="5" t="s">
        <v>2061</v>
      </c>
      <c r="J243" s="5" t="s">
        <v>2062</v>
      </c>
      <c r="K243" s="5"/>
      <c r="L243" s="5"/>
      <c r="M243" s="5" t="s">
        <v>2063</v>
      </c>
      <c r="N243" s="5" t="s">
        <v>236</v>
      </c>
      <c r="O243" s="4" t="s">
        <v>2064</v>
      </c>
    </row>
    <row r="244" customFormat="false" ht="21.75" hidden="false" customHeight="true" outlineLevel="0" collapsed="false">
      <c r="B244" s="6" t="s">
        <v>112</v>
      </c>
      <c r="C244" s="6" t="s">
        <v>100</v>
      </c>
      <c r="D244" s="6" t="s">
        <v>2065</v>
      </c>
      <c r="E244" s="10" t="n">
        <v>0</v>
      </c>
      <c r="F244" s="6" t="s">
        <v>22</v>
      </c>
      <c r="G244" s="7" t="s">
        <v>2066</v>
      </c>
      <c r="H244" s="7" t="s">
        <v>2067</v>
      </c>
      <c r="I244" s="7" t="s">
        <v>2068</v>
      </c>
      <c r="J244" s="7" t="s">
        <v>2069</v>
      </c>
      <c r="K244" s="7" t="s">
        <v>2070</v>
      </c>
      <c r="L244" s="7" t="s">
        <v>234</v>
      </c>
      <c r="M244" s="7" t="s">
        <v>2071</v>
      </c>
      <c r="N244" s="7" t="s">
        <v>236</v>
      </c>
      <c r="O244" s="6" t="s">
        <v>2072</v>
      </c>
    </row>
    <row r="245" customFormat="false" ht="21.75" hidden="false" customHeight="true" outlineLevel="0" collapsed="false">
      <c r="B245" s="4" t="s">
        <v>112</v>
      </c>
      <c r="C245" s="4" t="s">
        <v>100</v>
      </c>
      <c r="D245" s="4" t="s">
        <v>2073</v>
      </c>
      <c r="E245" s="9" t="n">
        <v>2</v>
      </c>
      <c r="F245" s="4" t="s">
        <v>26</v>
      </c>
      <c r="G245" s="5" t="s">
        <v>2074</v>
      </c>
      <c r="H245" s="5" t="s">
        <v>2075</v>
      </c>
      <c r="I245" s="5" t="s">
        <v>2076</v>
      </c>
      <c r="J245" s="5" t="s">
        <v>2077</v>
      </c>
      <c r="K245" s="5" t="s">
        <v>2078</v>
      </c>
      <c r="L245" s="5" t="s">
        <v>389</v>
      </c>
      <c r="M245" s="5" t="s">
        <v>2079</v>
      </c>
      <c r="N245" s="5" t="s">
        <v>236</v>
      </c>
      <c r="O245" s="4" t="s">
        <v>2080</v>
      </c>
    </row>
    <row r="246" customFormat="false" ht="21.75" hidden="false" customHeight="true" outlineLevel="0" collapsed="false">
      <c r="B246" s="6" t="s">
        <v>118</v>
      </c>
      <c r="C246" s="6" t="s">
        <v>119</v>
      </c>
      <c r="D246" s="6" t="s">
        <v>2081</v>
      </c>
      <c r="E246" s="10" t="n">
        <v>0</v>
      </c>
      <c r="F246" s="6" t="s">
        <v>22</v>
      </c>
      <c r="G246" s="7" t="s">
        <v>2082</v>
      </c>
      <c r="H246" s="7" t="s">
        <v>2083</v>
      </c>
      <c r="I246" s="7" t="s">
        <v>1916</v>
      </c>
      <c r="J246" s="7" t="s">
        <v>1917</v>
      </c>
      <c r="K246" s="7" t="s">
        <v>2084</v>
      </c>
      <c r="L246" s="7" t="s">
        <v>244</v>
      </c>
      <c r="M246" s="7" t="s">
        <v>2085</v>
      </c>
      <c r="N246" s="7" t="s">
        <v>236</v>
      </c>
      <c r="O246" s="6" t="s">
        <v>2086</v>
      </c>
    </row>
    <row r="247" customFormat="false" ht="21.75" hidden="false" customHeight="true" outlineLevel="0" collapsed="false">
      <c r="B247" s="4" t="s">
        <v>118</v>
      </c>
      <c r="C247" s="4" t="s">
        <v>119</v>
      </c>
      <c r="D247" s="4" t="s">
        <v>2087</v>
      </c>
      <c r="E247" s="9" t="n">
        <v>0</v>
      </c>
      <c r="F247" s="4" t="s">
        <v>22</v>
      </c>
      <c r="G247" s="5" t="s">
        <v>2088</v>
      </c>
      <c r="H247" s="5" t="s">
        <v>2089</v>
      </c>
      <c r="I247" s="5" t="s">
        <v>1050</v>
      </c>
      <c r="J247" s="5" t="s">
        <v>2090</v>
      </c>
      <c r="K247" s="5"/>
      <c r="L247" s="5"/>
      <c r="M247" s="5"/>
      <c r="N247" s="5" t="s">
        <v>236</v>
      </c>
      <c r="O247" s="4" t="s">
        <v>2091</v>
      </c>
    </row>
    <row r="248" customFormat="false" ht="21.75" hidden="false" customHeight="true" outlineLevel="0" collapsed="false">
      <c r="B248" s="6" t="s">
        <v>118</v>
      </c>
      <c r="C248" s="6" t="s">
        <v>119</v>
      </c>
      <c r="D248" s="6" t="s">
        <v>2092</v>
      </c>
      <c r="E248" s="10" t="n">
        <v>0</v>
      </c>
      <c r="F248" s="6" t="s">
        <v>22</v>
      </c>
      <c r="G248" s="7" t="s">
        <v>2093</v>
      </c>
      <c r="H248" s="7" t="s">
        <v>2094</v>
      </c>
      <c r="I248" s="7" t="s">
        <v>2095</v>
      </c>
      <c r="J248" s="7" t="s">
        <v>2096</v>
      </c>
      <c r="K248" s="7" t="s">
        <v>2097</v>
      </c>
      <c r="L248" s="7" t="s">
        <v>244</v>
      </c>
      <c r="M248" s="7"/>
      <c r="N248" s="7" t="s">
        <v>236</v>
      </c>
      <c r="O248" s="6" t="s">
        <v>2098</v>
      </c>
    </row>
    <row r="249" customFormat="false" ht="21.75" hidden="false" customHeight="true" outlineLevel="0" collapsed="false">
      <c r="B249" s="4" t="s">
        <v>118</v>
      </c>
      <c r="C249" s="4" t="s">
        <v>119</v>
      </c>
      <c r="D249" s="4" t="s">
        <v>2099</v>
      </c>
      <c r="E249" s="9" t="n">
        <v>1</v>
      </c>
      <c r="F249" s="4" t="s">
        <v>24</v>
      </c>
      <c r="G249" s="5" t="s">
        <v>2100</v>
      </c>
      <c r="H249" s="5" t="s">
        <v>2101</v>
      </c>
      <c r="I249" s="5" t="s">
        <v>2102</v>
      </c>
      <c r="J249" s="5" t="s">
        <v>2103</v>
      </c>
      <c r="K249" s="5" t="s">
        <v>2104</v>
      </c>
      <c r="L249" s="5" t="s">
        <v>244</v>
      </c>
      <c r="M249" s="5" t="s">
        <v>2105</v>
      </c>
      <c r="N249" s="5" t="s">
        <v>236</v>
      </c>
      <c r="O249" s="4" t="s">
        <v>2106</v>
      </c>
    </row>
    <row r="250" customFormat="false" ht="21.75" hidden="false" customHeight="true" outlineLevel="0" collapsed="false">
      <c r="B250" s="6" t="s">
        <v>118</v>
      </c>
      <c r="C250" s="6" t="s">
        <v>119</v>
      </c>
      <c r="D250" s="6" t="s">
        <v>2107</v>
      </c>
      <c r="E250" s="10" t="n">
        <v>1</v>
      </c>
      <c r="F250" s="6" t="s">
        <v>24</v>
      </c>
      <c r="G250" s="7" t="s">
        <v>2108</v>
      </c>
      <c r="H250" s="7" t="s">
        <v>2109</v>
      </c>
      <c r="I250" s="7" t="s">
        <v>2110</v>
      </c>
      <c r="J250" s="7" t="s">
        <v>2103</v>
      </c>
      <c r="K250" s="7" t="s">
        <v>2111</v>
      </c>
      <c r="L250" s="7" t="s">
        <v>244</v>
      </c>
      <c r="M250" s="7" t="s">
        <v>2112</v>
      </c>
      <c r="N250" s="7" t="s">
        <v>236</v>
      </c>
      <c r="O250" s="6" t="s">
        <v>2113</v>
      </c>
    </row>
    <row r="251" customFormat="false" ht="21.75" hidden="false" customHeight="true" outlineLevel="0" collapsed="false">
      <c r="B251" s="4" t="s">
        <v>118</v>
      </c>
      <c r="C251" s="4" t="s">
        <v>119</v>
      </c>
      <c r="D251" s="4" t="s">
        <v>2114</v>
      </c>
      <c r="E251" s="9" t="n">
        <v>1</v>
      </c>
      <c r="F251" s="4" t="s">
        <v>24</v>
      </c>
      <c r="G251" s="5" t="s">
        <v>2115</v>
      </c>
      <c r="H251" s="5" t="s">
        <v>2116</v>
      </c>
      <c r="I251" s="5" t="s">
        <v>2117</v>
      </c>
      <c r="J251" s="5" t="s">
        <v>2118</v>
      </c>
      <c r="K251" s="5" t="s">
        <v>2119</v>
      </c>
      <c r="L251" s="5" t="s">
        <v>244</v>
      </c>
      <c r="M251" s="5" t="s">
        <v>2120</v>
      </c>
      <c r="N251" s="5" t="s">
        <v>236</v>
      </c>
      <c r="O251" s="4" t="s">
        <v>2121</v>
      </c>
    </row>
    <row r="252" customFormat="false" ht="21.75" hidden="false" customHeight="true" outlineLevel="0" collapsed="false">
      <c r="B252" s="6" t="s">
        <v>118</v>
      </c>
      <c r="C252" s="6" t="s">
        <v>119</v>
      </c>
      <c r="D252" s="6" t="s">
        <v>2122</v>
      </c>
      <c r="E252" s="10" t="n">
        <v>1</v>
      </c>
      <c r="F252" s="6" t="s">
        <v>24</v>
      </c>
      <c r="G252" s="7" t="s">
        <v>2123</v>
      </c>
      <c r="H252" s="7" t="s">
        <v>2124</v>
      </c>
      <c r="I252" s="7" t="s">
        <v>2125</v>
      </c>
      <c r="J252" s="7" t="s">
        <v>2126</v>
      </c>
      <c r="K252" s="7" t="s">
        <v>2127</v>
      </c>
      <c r="L252" s="7" t="s">
        <v>234</v>
      </c>
      <c r="M252" s="7"/>
      <c r="N252" s="7" t="s">
        <v>236</v>
      </c>
      <c r="O252" s="6" t="s">
        <v>2128</v>
      </c>
    </row>
    <row r="253" customFormat="false" ht="21.75" hidden="false" customHeight="true" outlineLevel="0" collapsed="false">
      <c r="B253" s="4" t="s">
        <v>118</v>
      </c>
      <c r="C253" s="4" t="s">
        <v>119</v>
      </c>
      <c r="D253" s="4" t="s">
        <v>2129</v>
      </c>
      <c r="E253" s="9" t="n">
        <v>2</v>
      </c>
      <c r="F253" s="4" t="s">
        <v>26</v>
      </c>
      <c r="G253" s="5" t="s">
        <v>2130</v>
      </c>
      <c r="H253" s="5" t="s">
        <v>2131</v>
      </c>
      <c r="I253" s="5" t="s">
        <v>2132</v>
      </c>
      <c r="J253" s="5" t="s">
        <v>2133</v>
      </c>
      <c r="K253" s="5" t="s">
        <v>2134</v>
      </c>
      <c r="L253" s="5" t="s">
        <v>335</v>
      </c>
      <c r="M253" s="5"/>
      <c r="N253" s="5" t="s">
        <v>236</v>
      </c>
      <c r="O253" s="4" t="s">
        <v>2135</v>
      </c>
    </row>
    <row r="254" customFormat="false" ht="21.75" hidden="false" customHeight="true" outlineLevel="0" collapsed="false">
      <c r="B254" s="6" t="s">
        <v>118</v>
      </c>
      <c r="C254" s="6" t="s">
        <v>119</v>
      </c>
      <c r="D254" s="6" t="s">
        <v>2136</v>
      </c>
      <c r="E254" s="10" t="n">
        <v>2</v>
      </c>
      <c r="F254" s="6" t="s">
        <v>26</v>
      </c>
      <c r="G254" s="7" t="s">
        <v>2137</v>
      </c>
      <c r="H254" s="7" t="s">
        <v>2138</v>
      </c>
      <c r="I254" s="7" t="s">
        <v>2139</v>
      </c>
      <c r="J254" s="7" t="s">
        <v>2140</v>
      </c>
      <c r="K254" s="7" t="s">
        <v>2141</v>
      </c>
      <c r="L254" s="7" t="s">
        <v>389</v>
      </c>
      <c r="M254" s="7" t="s">
        <v>2142</v>
      </c>
      <c r="N254" s="7" t="s">
        <v>236</v>
      </c>
      <c r="O254" s="6" t="s">
        <v>2143</v>
      </c>
    </row>
    <row r="255" customFormat="false" ht="21.75" hidden="false" customHeight="true" outlineLevel="0" collapsed="false">
      <c r="B255" s="4" t="s">
        <v>118</v>
      </c>
      <c r="C255" s="4" t="s">
        <v>119</v>
      </c>
      <c r="D255" s="4" t="s">
        <v>2144</v>
      </c>
      <c r="E255" s="9" t="n">
        <v>2</v>
      </c>
      <c r="F255" s="4" t="s">
        <v>26</v>
      </c>
      <c r="G255" s="5" t="s">
        <v>2145</v>
      </c>
      <c r="H255" s="5" t="s">
        <v>2146</v>
      </c>
      <c r="I255" s="5" t="s">
        <v>2147</v>
      </c>
      <c r="J255" s="5" t="s">
        <v>2148</v>
      </c>
      <c r="K255" s="5" t="s">
        <v>2149</v>
      </c>
      <c r="L255" s="5" t="s">
        <v>389</v>
      </c>
      <c r="M255" s="5" t="s">
        <v>2150</v>
      </c>
      <c r="N255" s="5" t="s">
        <v>236</v>
      </c>
      <c r="O255" s="4" t="s">
        <v>2151</v>
      </c>
    </row>
    <row r="256" customFormat="false" ht="21.75" hidden="false" customHeight="true" outlineLevel="0" collapsed="false">
      <c r="B256" s="6" t="s">
        <v>118</v>
      </c>
      <c r="C256" s="6" t="s">
        <v>119</v>
      </c>
      <c r="D256" s="6" t="s">
        <v>2152</v>
      </c>
      <c r="E256" s="10" t="n">
        <v>2</v>
      </c>
      <c r="F256" s="6" t="s">
        <v>26</v>
      </c>
      <c r="G256" s="7" t="s">
        <v>2153</v>
      </c>
      <c r="H256" s="7" t="s">
        <v>2154</v>
      </c>
      <c r="I256" s="7" t="s">
        <v>2155</v>
      </c>
      <c r="J256" s="7" t="s">
        <v>2156</v>
      </c>
      <c r="K256" s="7" t="s">
        <v>2157</v>
      </c>
      <c r="L256" s="7" t="s">
        <v>291</v>
      </c>
      <c r="M256" s="7" t="s">
        <v>2158</v>
      </c>
      <c r="N256" s="7" t="s">
        <v>236</v>
      </c>
      <c r="O256" s="6" t="s">
        <v>2159</v>
      </c>
    </row>
    <row r="257" customFormat="false" ht="21.75" hidden="false" customHeight="true" outlineLevel="0" collapsed="false">
      <c r="B257" s="4" t="s">
        <v>118</v>
      </c>
      <c r="C257" s="4" t="s">
        <v>119</v>
      </c>
      <c r="D257" s="4" t="s">
        <v>2160</v>
      </c>
      <c r="E257" s="9" t="n">
        <v>2</v>
      </c>
      <c r="F257" s="4" t="s">
        <v>26</v>
      </c>
      <c r="G257" s="5" t="s">
        <v>2161</v>
      </c>
      <c r="H257" s="5" t="s">
        <v>2162</v>
      </c>
      <c r="I257" s="5" t="s">
        <v>2163</v>
      </c>
      <c r="J257" s="5" t="s">
        <v>2164</v>
      </c>
      <c r="K257" s="5" t="s">
        <v>2165</v>
      </c>
      <c r="L257" s="5" t="s">
        <v>244</v>
      </c>
      <c r="M257" s="5" t="s">
        <v>2166</v>
      </c>
      <c r="N257" s="5" t="s">
        <v>236</v>
      </c>
      <c r="O257" s="4" t="s">
        <v>2167</v>
      </c>
    </row>
    <row r="258" customFormat="false" ht="21.75" hidden="false" customHeight="true" outlineLevel="0" collapsed="false">
      <c r="B258" s="6" t="s">
        <v>118</v>
      </c>
      <c r="C258" s="6" t="s">
        <v>119</v>
      </c>
      <c r="D258" s="6" t="s">
        <v>2168</v>
      </c>
      <c r="E258" s="10" t="n">
        <v>3</v>
      </c>
      <c r="F258" s="6" t="s">
        <v>28</v>
      </c>
      <c r="G258" s="7" t="s">
        <v>2169</v>
      </c>
      <c r="H258" s="7" t="s">
        <v>2170</v>
      </c>
      <c r="I258" s="7" t="s">
        <v>2171</v>
      </c>
      <c r="J258" s="7" t="s">
        <v>2172</v>
      </c>
      <c r="K258" s="7" t="s">
        <v>2173</v>
      </c>
      <c r="L258" s="7" t="s">
        <v>234</v>
      </c>
      <c r="M258" s="7" t="s">
        <v>2174</v>
      </c>
      <c r="N258" s="7" t="s">
        <v>236</v>
      </c>
      <c r="O258" s="6" t="s">
        <v>2175</v>
      </c>
    </row>
    <row r="259" customFormat="false" ht="21.75" hidden="false" customHeight="true" outlineLevel="0" collapsed="false">
      <c r="B259" s="4" t="s">
        <v>118</v>
      </c>
      <c r="C259" s="4" t="s">
        <v>119</v>
      </c>
      <c r="D259" s="4" t="s">
        <v>2176</v>
      </c>
      <c r="E259" s="9" t="n">
        <v>3</v>
      </c>
      <c r="F259" s="4" t="s">
        <v>28</v>
      </c>
      <c r="G259" s="5" t="s">
        <v>2177</v>
      </c>
      <c r="H259" s="5" t="s">
        <v>2178</v>
      </c>
      <c r="I259" s="5" t="s">
        <v>2179</v>
      </c>
      <c r="J259" s="5" t="s">
        <v>2180</v>
      </c>
      <c r="K259" s="5" t="s">
        <v>2181</v>
      </c>
      <c r="L259" s="5" t="s">
        <v>234</v>
      </c>
      <c r="M259" s="5" t="s">
        <v>2182</v>
      </c>
      <c r="N259" s="5" t="s">
        <v>236</v>
      </c>
      <c r="O259" s="4" t="s">
        <v>2183</v>
      </c>
    </row>
    <row r="260" customFormat="false" ht="21.75" hidden="false" customHeight="true" outlineLevel="0" collapsed="false">
      <c r="B260" s="6" t="s">
        <v>118</v>
      </c>
      <c r="C260" s="6" t="s">
        <v>119</v>
      </c>
      <c r="D260" s="6" t="s">
        <v>2184</v>
      </c>
      <c r="E260" s="10" t="n">
        <v>3</v>
      </c>
      <c r="F260" s="6" t="s">
        <v>28</v>
      </c>
      <c r="G260" s="7" t="s">
        <v>2185</v>
      </c>
      <c r="H260" s="7" t="s">
        <v>2186</v>
      </c>
      <c r="I260" s="7" t="s">
        <v>2187</v>
      </c>
      <c r="J260" s="7" t="s">
        <v>2188</v>
      </c>
      <c r="K260" s="7" t="s">
        <v>2189</v>
      </c>
      <c r="L260" s="7" t="s">
        <v>291</v>
      </c>
      <c r="M260" s="7" t="s">
        <v>2190</v>
      </c>
      <c r="N260" s="7" t="s">
        <v>236</v>
      </c>
      <c r="O260" s="6" t="s">
        <v>2191</v>
      </c>
    </row>
    <row r="261" customFormat="false" ht="21.75" hidden="false" customHeight="true" outlineLevel="0" collapsed="false">
      <c r="B261" s="4" t="s">
        <v>118</v>
      </c>
      <c r="C261" s="4" t="s">
        <v>119</v>
      </c>
      <c r="D261" s="4" t="s">
        <v>2192</v>
      </c>
      <c r="E261" s="9" t="n">
        <v>3</v>
      </c>
      <c r="F261" s="4" t="s">
        <v>28</v>
      </c>
      <c r="G261" s="5" t="s">
        <v>2193</v>
      </c>
      <c r="H261" s="5" t="s">
        <v>2194</v>
      </c>
      <c r="I261" s="5" t="s">
        <v>2195</v>
      </c>
      <c r="J261" s="5" t="s">
        <v>2196</v>
      </c>
      <c r="K261" s="5" t="s">
        <v>2197</v>
      </c>
      <c r="L261" s="5" t="s">
        <v>389</v>
      </c>
      <c r="M261" s="5" t="s">
        <v>2198</v>
      </c>
      <c r="N261" s="5" t="s">
        <v>236</v>
      </c>
      <c r="O261" s="4" t="s">
        <v>2199</v>
      </c>
    </row>
    <row r="262" customFormat="false" ht="21.75" hidden="false" customHeight="true" outlineLevel="0" collapsed="false">
      <c r="B262" s="6" t="s">
        <v>118</v>
      </c>
      <c r="C262" s="6" t="s">
        <v>119</v>
      </c>
      <c r="D262" s="6" t="s">
        <v>2200</v>
      </c>
      <c r="E262" s="10" t="n">
        <v>4</v>
      </c>
      <c r="F262" s="6" t="s">
        <v>30</v>
      </c>
      <c r="G262" s="7" t="s">
        <v>2201</v>
      </c>
      <c r="H262" s="7" t="s">
        <v>2202</v>
      </c>
      <c r="I262" s="7" t="s">
        <v>2203</v>
      </c>
      <c r="J262" s="7" t="s">
        <v>2204</v>
      </c>
      <c r="K262" s="7" t="s">
        <v>2205</v>
      </c>
      <c r="L262" s="7" t="s">
        <v>234</v>
      </c>
      <c r="M262" s="7" t="s">
        <v>2206</v>
      </c>
      <c r="N262" s="7" t="s">
        <v>236</v>
      </c>
      <c r="O262" s="6" t="s">
        <v>2207</v>
      </c>
    </row>
    <row r="263" customFormat="false" ht="21.75" hidden="false" customHeight="true" outlineLevel="0" collapsed="false">
      <c r="B263" s="4" t="s">
        <v>118</v>
      </c>
      <c r="C263" s="4" t="s">
        <v>119</v>
      </c>
      <c r="D263" s="4" t="s">
        <v>2208</v>
      </c>
      <c r="E263" s="9" t="n">
        <v>4</v>
      </c>
      <c r="F263" s="4" t="s">
        <v>30</v>
      </c>
      <c r="G263" s="5" t="s">
        <v>2209</v>
      </c>
      <c r="H263" s="5" t="s">
        <v>2210</v>
      </c>
      <c r="I263" s="5" t="s">
        <v>2211</v>
      </c>
      <c r="J263" s="5" t="s">
        <v>2212</v>
      </c>
      <c r="K263" s="5" t="s">
        <v>2213</v>
      </c>
      <c r="L263" s="5" t="s">
        <v>244</v>
      </c>
      <c r="M263" s="5"/>
      <c r="N263" s="5" t="s">
        <v>236</v>
      </c>
      <c r="O263" s="4" t="s">
        <v>2214</v>
      </c>
    </row>
    <row r="264" customFormat="false" ht="21.75" hidden="false" customHeight="true" outlineLevel="0" collapsed="false">
      <c r="B264" s="6" t="s">
        <v>118</v>
      </c>
      <c r="C264" s="6" t="s">
        <v>119</v>
      </c>
      <c r="D264" s="6" t="s">
        <v>2215</v>
      </c>
      <c r="E264" s="10" t="n">
        <v>4</v>
      </c>
      <c r="F264" s="6" t="s">
        <v>30</v>
      </c>
      <c r="G264" s="7" t="s">
        <v>2216</v>
      </c>
      <c r="H264" s="7" t="s">
        <v>2217</v>
      </c>
      <c r="I264" s="7" t="s">
        <v>2218</v>
      </c>
      <c r="J264" s="7" t="s">
        <v>2219</v>
      </c>
      <c r="K264" s="7" t="s">
        <v>2220</v>
      </c>
      <c r="L264" s="7" t="s">
        <v>234</v>
      </c>
      <c r="M264" s="7" t="s">
        <v>2221</v>
      </c>
      <c r="N264" s="7" t="s">
        <v>236</v>
      </c>
      <c r="O264" s="6" t="s">
        <v>2222</v>
      </c>
    </row>
    <row r="265" customFormat="false" ht="21.75" hidden="false" customHeight="true" outlineLevel="0" collapsed="false">
      <c r="B265" s="4" t="s">
        <v>118</v>
      </c>
      <c r="C265" s="4" t="s">
        <v>119</v>
      </c>
      <c r="D265" s="4" t="s">
        <v>2223</v>
      </c>
      <c r="E265" s="9" t="n">
        <v>4</v>
      </c>
      <c r="F265" s="4" t="s">
        <v>30</v>
      </c>
      <c r="G265" s="5" t="s">
        <v>2224</v>
      </c>
      <c r="H265" s="5" t="s">
        <v>2225</v>
      </c>
      <c r="I265" s="5" t="s">
        <v>2226</v>
      </c>
      <c r="J265" s="5" t="s">
        <v>2227</v>
      </c>
      <c r="K265" s="5" t="s">
        <v>2228</v>
      </c>
      <c r="L265" s="5" t="s">
        <v>260</v>
      </c>
      <c r="M265" s="5"/>
      <c r="N265" s="5" t="s">
        <v>236</v>
      </c>
      <c r="O265" s="4" t="s">
        <v>2229</v>
      </c>
    </row>
    <row r="266" customFormat="false" ht="21.75" hidden="false" customHeight="true" outlineLevel="0" collapsed="false">
      <c r="B266" s="6" t="s">
        <v>125</v>
      </c>
      <c r="C266" s="6" t="s">
        <v>119</v>
      </c>
      <c r="D266" s="6" t="s">
        <v>2230</v>
      </c>
      <c r="E266" s="10" t="n">
        <v>0</v>
      </c>
      <c r="F266" s="6" t="s">
        <v>22</v>
      </c>
      <c r="G266" s="7" t="s">
        <v>2231</v>
      </c>
      <c r="H266" s="7" t="s">
        <v>2232</v>
      </c>
      <c r="I266" s="7" t="s">
        <v>1916</v>
      </c>
      <c r="J266" s="7" t="s">
        <v>1917</v>
      </c>
      <c r="K266" s="7" t="s">
        <v>2233</v>
      </c>
      <c r="L266" s="7" t="s">
        <v>244</v>
      </c>
      <c r="M266" s="7" t="s">
        <v>2234</v>
      </c>
      <c r="N266" s="7" t="s">
        <v>236</v>
      </c>
      <c r="O266" s="6" t="s">
        <v>2235</v>
      </c>
    </row>
    <row r="267" customFormat="false" ht="21.75" hidden="false" customHeight="true" outlineLevel="0" collapsed="false">
      <c r="B267" s="4" t="s">
        <v>125</v>
      </c>
      <c r="C267" s="4" t="s">
        <v>119</v>
      </c>
      <c r="D267" s="4" t="s">
        <v>2236</v>
      </c>
      <c r="E267" s="9" t="n">
        <v>0</v>
      </c>
      <c r="F267" s="4" t="s">
        <v>22</v>
      </c>
      <c r="G267" s="5" t="s">
        <v>2237</v>
      </c>
      <c r="H267" s="5" t="s">
        <v>2238</v>
      </c>
      <c r="I267" s="5" t="s">
        <v>2239</v>
      </c>
      <c r="J267" s="5" t="s">
        <v>2240</v>
      </c>
      <c r="K267" s="5" t="s">
        <v>2241</v>
      </c>
      <c r="L267" s="5" t="s">
        <v>335</v>
      </c>
      <c r="M267" s="5" t="s">
        <v>2242</v>
      </c>
      <c r="N267" s="5" t="s">
        <v>236</v>
      </c>
      <c r="O267" s="4" t="s">
        <v>2243</v>
      </c>
    </row>
    <row r="268" customFormat="false" ht="21.75" hidden="false" customHeight="true" outlineLevel="0" collapsed="false">
      <c r="B268" s="6" t="s">
        <v>125</v>
      </c>
      <c r="C268" s="6" t="s">
        <v>119</v>
      </c>
      <c r="D268" s="6" t="s">
        <v>2244</v>
      </c>
      <c r="E268" s="10" t="n">
        <v>0</v>
      </c>
      <c r="F268" s="6" t="s">
        <v>22</v>
      </c>
      <c r="G268" s="7" t="s">
        <v>2245</v>
      </c>
      <c r="H268" s="7" t="s">
        <v>2246</v>
      </c>
      <c r="I268" s="7" t="s">
        <v>2247</v>
      </c>
      <c r="J268" s="7" t="s">
        <v>2248</v>
      </c>
      <c r="K268" s="7" t="s">
        <v>2249</v>
      </c>
      <c r="L268" s="7" t="s">
        <v>335</v>
      </c>
      <c r="M268" s="7" t="s">
        <v>2250</v>
      </c>
      <c r="N268" s="7" t="s">
        <v>236</v>
      </c>
      <c r="O268" s="6" t="s">
        <v>2251</v>
      </c>
    </row>
    <row r="269" customFormat="false" ht="21.75" hidden="false" customHeight="true" outlineLevel="0" collapsed="false">
      <c r="B269" s="4" t="s">
        <v>125</v>
      </c>
      <c r="C269" s="4" t="s">
        <v>119</v>
      </c>
      <c r="D269" s="4" t="s">
        <v>2252</v>
      </c>
      <c r="E269" s="9" t="n">
        <v>0</v>
      </c>
      <c r="F269" s="4" t="s">
        <v>22</v>
      </c>
      <c r="G269" s="5" t="s">
        <v>2253</v>
      </c>
      <c r="H269" s="5" t="s">
        <v>2254</v>
      </c>
      <c r="I269" s="5" t="s">
        <v>2132</v>
      </c>
      <c r="J269" s="5" t="s">
        <v>2255</v>
      </c>
      <c r="K269" s="5" t="s">
        <v>2256</v>
      </c>
      <c r="L269" s="5" t="s">
        <v>335</v>
      </c>
      <c r="M269" s="5" t="s">
        <v>2257</v>
      </c>
      <c r="N269" s="5" t="s">
        <v>236</v>
      </c>
      <c r="O269" s="4" t="s">
        <v>2258</v>
      </c>
    </row>
    <row r="270" customFormat="false" ht="21.75" hidden="false" customHeight="true" outlineLevel="0" collapsed="false">
      <c r="B270" s="6" t="s">
        <v>125</v>
      </c>
      <c r="C270" s="6" t="s">
        <v>119</v>
      </c>
      <c r="D270" s="6" t="s">
        <v>2259</v>
      </c>
      <c r="E270" s="10" t="n">
        <v>1</v>
      </c>
      <c r="F270" s="6" t="s">
        <v>24</v>
      </c>
      <c r="G270" s="7" t="s">
        <v>2260</v>
      </c>
      <c r="H270" s="7" t="s">
        <v>2261</v>
      </c>
      <c r="I270" s="7" t="s">
        <v>2262</v>
      </c>
      <c r="J270" s="7" t="s">
        <v>2263</v>
      </c>
      <c r="K270" s="7" t="s">
        <v>2264</v>
      </c>
      <c r="L270" s="7" t="s">
        <v>260</v>
      </c>
      <c r="M270" s="7" t="s">
        <v>2265</v>
      </c>
      <c r="N270" s="7" t="s">
        <v>236</v>
      </c>
      <c r="O270" s="6" t="s">
        <v>2266</v>
      </c>
    </row>
    <row r="271" customFormat="false" ht="21.75" hidden="false" customHeight="true" outlineLevel="0" collapsed="false">
      <c r="B271" s="4" t="s">
        <v>125</v>
      </c>
      <c r="C271" s="4" t="s">
        <v>119</v>
      </c>
      <c r="D271" s="4" t="s">
        <v>2267</v>
      </c>
      <c r="E271" s="9" t="n">
        <v>1</v>
      </c>
      <c r="F271" s="4" t="s">
        <v>24</v>
      </c>
      <c r="G271" s="5" t="s">
        <v>2268</v>
      </c>
      <c r="H271" s="5" t="s">
        <v>2269</v>
      </c>
      <c r="I271" s="5" t="s">
        <v>2270</v>
      </c>
      <c r="J271" s="5" t="s">
        <v>2271</v>
      </c>
      <c r="K271" s="5" t="s">
        <v>2272</v>
      </c>
      <c r="L271" s="5" t="s">
        <v>244</v>
      </c>
      <c r="M271" s="5" t="s">
        <v>2273</v>
      </c>
      <c r="N271" s="5" t="s">
        <v>236</v>
      </c>
      <c r="O271" s="4" t="s">
        <v>2274</v>
      </c>
    </row>
    <row r="272" customFormat="false" ht="21.75" hidden="false" customHeight="true" outlineLevel="0" collapsed="false">
      <c r="B272" s="6" t="s">
        <v>125</v>
      </c>
      <c r="C272" s="6" t="s">
        <v>119</v>
      </c>
      <c r="D272" s="6" t="s">
        <v>2275</v>
      </c>
      <c r="E272" s="10" t="n">
        <v>1</v>
      </c>
      <c r="F272" s="6" t="s">
        <v>24</v>
      </c>
      <c r="G272" s="7" t="s">
        <v>2276</v>
      </c>
      <c r="H272" s="7" t="s">
        <v>2277</v>
      </c>
      <c r="I272" s="7" t="s">
        <v>2278</v>
      </c>
      <c r="J272" s="7" t="s">
        <v>2117</v>
      </c>
      <c r="K272" s="7" t="s">
        <v>2279</v>
      </c>
      <c r="L272" s="7" t="s">
        <v>234</v>
      </c>
      <c r="M272" s="7" t="s">
        <v>2280</v>
      </c>
      <c r="N272" s="7" t="s">
        <v>236</v>
      </c>
      <c r="O272" s="6" t="s">
        <v>2281</v>
      </c>
    </row>
    <row r="273" customFormat="false" ht="21.75" hidden="false" customHeight="true" outlineLevel="0" collapsed="false">
      <c r="B273" s="4" t="s">
        <v>125</v>
      </c>
      <c r="C273" s="4" t="s">
        <v>119</v>
      </c>
      <c r="D273" s="4" t="s">
        <v>2282</v>
      </c>
      <c r="E273" s="9" t="n">
        <v>1</v>
      </c>
      <c r="F273" s="4" t="s">
        <v>24</v>
      </c>
      <c r="G273" s="5" t="s">
        <v>2283</v>
      </c>
      <c r="H273" s="5" t="s">
        <v>2284</v>
      </c>
      <c r="I273" s="5" t="s">
        <v>2285</v>
      </c>
      <c r="J273" s="5" t="s">
        <v>2286</v>
      </c>
      <c r="K273" s="5" t="s">
        <v>2287</v>
      </c>
      <c r="L273" s="5" t="s">
        <v>260</v>
      </c>
      <c r="M273" s="5" t="s">
        <v>2288</v>
      </c>
      <c r="N273" s="5" t="s">
        <v>236</v>
      </c>
      <c r="O273" s="4" t="s">
        <v>2289</v>
      </c>
    </row>
    <row r="274" customFormat="false" ht="21.75" hidden="false" customHeight="true" outlineLevel="0" collapsed="false">
      <c r="B274" s="6" t="s">
        <v>125</v>
      </c>
      <c r="C274" s="6" t="s">
        <v>119</v>
      </c>
      <c r="D274" s="6" t="s">
        <v>2290</v>
      </c>
      <c r="E274" s="10" t="n">
        <v>1</v>
      </c>
      <c r="F274" s="6" t="s">
        <v>24</v>
      </c>
      <c r="G274" s="7" t="s">
        <v>2291</v>
      </c>
      <c r="H274" s="7" t="s">
        <v>2292</v>
      </c>
      <c r="I274" s="7" t="s">
        <v>2293</v>
      </c>
      <c r="J274" s="7" t="s">
        <v>2294</v>
      </c>
      <c r="K274" s="7" t="s">
        <v>2295</v>
      </c>
      <c r="L274" s="7" t="s">
        <v>244</v>
      </c>
      <c r="M274" s="7" t="s">
        <v>2296</v>
      </c>
      <c r="N274" s="7" t="s">
        <v>236</v>
      </c>
      <c r="O274" s="6" t="s">
        <v>2297</v>
      </c>
    </row>
    <row r="275" customFormat="false" ht="21.75" hidden="false" customHeight="true" outlineLevel="0" collapsed="false">
      <c r="B275" s="4" t="s">
        <v>125</v>
      </c>
      <c r="C275" s="4" t="s">
        <v>119</v>
      </c>
      <c r="D275" s="4" t="s">
        <v>2298</v>
      </c>
      <c r="E275" s="9" t="n">
        <v>2</v>
      </c>
      <c r="F275" s="4" t="s">
        <v>26</v>
      </c>
      <c r="G275" s="5" t="s">
        <v>2299</v>
      </c>
      <c r="H275" s="5" t="s">
        <v>2300</v>
      </c>
      <c r="I275" s="5" t="s">
        <v>2132</v>
      </c>
      <c r="J275" s="5" t="s">
        <v>2118</v>
      </c>
      <c r="K275" s="5" t="s">
        <v>2301</v>
      </c>
      <c r="L275" s="5" t="s">
        <v>389</v>
      </c>
      <c r="M275" s="5" t="s">
        <v>2302</v>
      </c>
      <c r="N275" s="5" t="s">
        <v>236</v>
      </c>
      <c r="O275" s="4" t="s">
        <v>2303</v>
      </c>
    </row>
    <row r="276" customFormat="false" ht="21.75" hidden="false" customHeight="true" outlineLevel="0" collapsed="false">
      <c r="B276" s="6" t="s">
        <v>125</v>
      </c>
      <c r="C276" s="6" t="s">
        <v>119</v>
      </c>
      <c r="D276" s="6" t="s">
        <v>2304</v>
      </c>
      <c r="E276" s="10" t="n">
        <v>2</v>
      </c>
      <c r="F276" s="6" t="s">
        <v>26</v>
      </c>
      <c r="G276" s="7" t="s">
        <v>2305</v>
      </c>
      <c r="H276" s="7" t="s">
        <v>2306</v>
      </c>
      <c r="I276" s="7" t="s">
        <v>2307</v>
      </c>
      <c r="J276" s="7" t="s">
        <v>2308</v>
      </c>
      <c r="K276" s="7" t="s">
        <v>2309</v>
      </c>
      <c r="L276" s="7" t="s">
        <v>389</v>
      </c>
      <c r="M276" s="7" t="s">
        <v>2310</v>
      </c>
      <c r="N276" s="7" t="s">
        <v>236</v>
      </c>
      <c r="O276" s="6" t="s">
        <v>2311</v>
      </c>
    </row>
    <row r="277" customFormat="false" ht="21.75" hidden="false" customHeight="true" outlineLevel="0" collapsed="false">
      <c r="B277" s="4" t="s">
        <v>125</v>
      </c>
      <c r="C277" s="4" t="s">
        <v>119</v>
      </c>
      <c r="D277" s="4" t="s">
        <v>2312</v>
      </c>
      <c r="E277" s="9" t="n">
        <v>2</v>
      </c>
      <c r="F277" s="4" t="s">
        <v>26</v>
      </c>
      <c r="G277" s="5" t="s">
        <v>2313</v>
      </c>
      <c r="H277" s="5" t="s">
        <v>2314</v>
      </c>
      <c r="I277" s="5" t="s">
        <v>2315</v>
      </c>
      <c r="J277" s="5" t="s">
        <v>2316</v>
      </c>
      <c r="K277" s="5" t="s">
        <v>2317</v>
      </c>
      <c r="L277" s="5" t="s">
        <v>260</v>
      </c>
      <c r="M277" s="5" t="s">
        <v>2318</v>
      </c>
      <c r="N277" s="5" t="s">
        <v>236</v>
      </c>
      <c r="O277" s="4" t="s">
        <v>2319</v>
      </c>
    </row>
    <row r="278" customFormat="false" ht="21.75" hidden="false" customHeight="true" outlineLevel="0" collapsed="false">
      <c r="B278" s="6" t="s">
        <v>125</v>
      </c>
      <c r="C278" s="6" t="s">
        <v>119</v>
      </c>
      <c r="D278" s="6" t="s">
        <v>2320</v>
      </c>
      <c r="E278" s="10" t="n">
        <v>2</v>
      </c>
      <c r="F278" s="6" t="s">
        <v>26</v>
      </c>
      <c r="G278" s="7" t="s">
        <v>2321</v>
      </c>
      <c r="H278" s="7" t="s">
        <v>2322</v>
      </c>
      <c r="I278" s="7" t="s">
        <v>2323</v>
      </c>
      <c r="J278" s="7" t="s">
        <v>2324</v>
      </c>
      <c r="K278" s="7" t="s">
        <v>2325</v>
      </c>
      <c r="L278" s="7" t="s">
        <v>469</v>
      </c>
      <c r="M278" s="7" t="s">
        <v>2326</v>
      </c>
      <c r="N278" s="7" t="s">
        <v>236</v>
      </c>
      <c r="O278" s="6" t="s">
        <v>2327</v>
      </c>
    </row>
    <row r="279" customFormat="false" ht="21.75" hidden="false" customHeight="true" outlineLevel="0" collapsed="false">
      <c r="B279" s="4" t="s">
        <v>125</v>
      </c>
      <c r="C279" s="4" t="s">
        <v>119</v>
      </c>
      <c r="D279" s="4" t="s">
        <v>2328</v>
      </c>
      <c r="E279" s="9" t="n">
        <v>2</v>
      </c>
      <c r="F279" s="4" t="s">
        <v>26</v>
      </c>
      <c r="G279" s="5" t="s">
        <v>2329</v>
      </c>
      <c r="H279" s="5" t="s">
        <v>2330</v>
      </c>
      <c r="I279" s="5" t="s">
        <v>2331</v>
      </c>
      <c r="J279" s="5" t="s">
        <v>2332</v>
      </c>
      <c r="K279" s="5" t="s">
        <v>2333</v>
      </c>
      <c r="L279" s="5" t="s">
        <v>469</v>
      </c>
      <c r="M279" s="5" t="s">
        <v>2334</v>
      </c>
      <c r="N279" s="5" t="s">
        <v>236</v>
      </c>
      <c r="O279" s="4" t="s">
        <v>2335</v>
      </c>
    </row>
    <row r="280" customFormat="false" ht="21.75" hidden="false" customHeight="true" outlineLevel="0" collapsed="false">
      <c r="B280" s="6" t="s">
        <v>125</v>
      </c>
      <c r="C280" s="6" t="s">
        <v>119</v>
      </c>
      <c r="D280" s="6" t="s">
        <v>2336</v>
      </c>
      <c r="E280" s="10" t="n">
        <v>2</v>
      </c>
      <c r="F280" s="6" t="s">
        <v>26</v>
      </c>
      <c r="G280" s="7" t="s">
        <v>2337</v>
      </c>
      <c r="H280" s="7" t="s">
        <v>2338</v>
      </c>
      <c r="I280" s="7" t="s">
        <v>2339</v>
      </c>
      <c r="J280" s="7" t="s">
        <v>2340</v>
      </c>
      <c r="K280" s="7" t="s">
        <v>2341</v>
      </c>
      <c r="L280" s="7" t="s">
        <v>469</v>
      </c>
      <c r="M280" s="7" t="s">
        <v>2342</v>
      </c>
      <c r="N280" s="7" t="s">
        <v>236</v>
      </c>
      <c r="O280" s="6" t="s">
        <v>2343</v>
      </c>
    </row>
    <row r="281" customFormat="false" ht="21.75" hidden="false" customHeight="true" outlineLevel="0" collapsed="false">
      <c r="B281" s="4" t="s">
        <v>125</v>
      </c>
      <c r="C281" s="4" t="s">
        <v>119</v>
      </c>
      <c r="D281" s="4" t="s">
        <v>2344</v>
      </c>
      <c r="E281" s="9" t="n">
        <v>2</v>
      </c>
      <c r="F281" s="4" t="s">
        <v>26</v>
      </c>
      <c r="G281" s="5" t="s">
        <v>2345</v>
      </c>
      <c r="H281" s="5" t="s">
        <v>2346</v>
      </c>
      <c r="I281" s="5" t="s">
        <v>2347</v>
      </c>
      <c r="J281" s="5" t="s">
        <v>2348</v>
      </c>
      <c r="K281" s="5" t="s">
        <v>2349</v>
      </c>
      <c r="L281" s="5" t="s">
        <v>335</v>
      </c>
      <c r="M281" s="5" t="s">
        <v>2350</v>
      </c>
      <c r="N281" s="5" t="s">
        <v>236</v>
      </c>
      <c r="O281" s="4" t="s">
        <v>2351</v>
      </c>
    </row>
    <row r="282" customFormat="false" ht="21.75" hidden="false" customHeight="true" outlineLevel="0" collapsed="false">
      <c r="B282" s="6" t="s">
        <v>125</v>
      </c>
      <c r="C282" s="6" t="s">
        <v>119</v>
      </c>
      <c r="D282" s="6" t="s">
        <v>2352</v>
      </c>
      <c r="E282" s="10" t="n">
        <v>2</v>
      </c>
      <c r="F282" s="6" t="s">
        <v>26</v>
      </c>
      <c r="G282" s="7" t="s">
        <v>2353</v>
      </c>
      <c r="H282" s="7" t="s">
        <v>2354</v>
      </c>
      <c r="I282" s="7" t="s">
        <v>2355</v>
      </c>
      <c r="J282" s="7" t="s">
        <v>2356</v>
      </c>
      <c r="K282" s="7" t="s">
        <v>2357</v>
      </c>
      <c r="L282" s="7" t="s">
        <v>389</v>
      </c>
      <c r="M282" s="7" t="s">
        <v>2358</v>
      </c>
      <c r="N282" s="7" t="s">
        <v>236</v>
      </c>
      <c r="O282" s="6" t="s">
        <v>2359</v>
      </c>
    </row>
    <row r="283" customFormat="false" ht="21.75" hidden="false" customHeight="true" outlineLevel="0" collapsed="false">
      <c r="B283" s="4" t="s">
        <v>125</v>
      </c>
      <c r="C283" s="4" t="s">
        <v>119</v>
      </c>
      <c r="D283" s="4" t="s">
        <v>2360</v>
      </c>
      <c r="E283" s="9" t="n">
        <v>1</v>
      </c>
      <c r="F283" s="4" t="s">
        <v>24</v>
      </c>
      <c r="G283" s="5" t="s">
        <v>2361</v>
      </c>
      <c r="H283" s="5" t="s">
        <v>2362</v>
      </c>
      <c r="I283" s="5" t="s">
        <v>2363</v>
      </c>
      <c r="J283" s="5" t="s">
        <v>2364</v>
      </c>
      <c r="K283" s="5" t="s">
        <v>2365</v>
      </c>
      <c r="L283" s="5" t="s">
        <v>260</v>
      </c>
      <c r="M283" s="5" t="s">
        <v>2366</v>
      </c>
      <c r="N283" s="5" t="s">
        <v>236</v>
      </c>
      <c r="O283" s="4" t="s">
        <v>2367</v>
      </c>
    </row>
    <row r="284" customFormat="false" ht="21.75" hidden="false" customHeight="true" outlineLevel="0" collapsed="false">
      <c r="B284" s="6" t="s">
        <v>125</v>
      </c>
      <c r="C284" s="6" t="s">
        <v>119</v>
      </c>
      <c r="D284" s="6" t="s">
        <v>2368</v>
      </c>
      <c r="E284" s="10" t="n">
        <v>1</v>
      </c>
      <c r="F284" s="6" t="s">
        <v>24</v>
      </c>
      <c r="G284" s="7" t="s">
        <v>2369</v>
      </c>
      <c r="H284" s="7" t="s">
        <v>2370</v>
      </c>
      <c r="I284" s="7" t="s">
        <v>2371</v>
      </c>
      <c r="J284" s="7" t="s">
        <v>2372</v>
      </c>
      <c r="K284" s="7" t="s">
        <v>2373</v>
      </c>
      <c r="L284" s="7" t="s">
        <v>244</v>
      </c>
      <c r="M284" s="7" t="s">
        <v>2374</v>
      </c>
      <c r="N284" s="7" t="s">
        <v>236</v>
      </c>
      <c r="O284" s="6" t="s">
        <v>2375</v>
      </c>
    </row>
    <row r="285" customFormat="false" ht="21.75" hidden="false" customHeight="true" outlineLevel="0" collapsed="false">
      <c r="B285" s="4" t="s">
        <v>125</v>
      </c>
      <c r="C285" s="4" t="s">
        <v>119</v>
      </c>
      <c r="D285" s="4" t="s">
        <v>2376</v>
      </c>
      <c r="E285" s="9" t="n">
        <v>3</v>
      </c>
      <c r="F285" s="4" t="s">
        <v>28</v>
      </c>
      <c r="G285" s="5" t="s">
        <v>2377</v>
      </c>
      <c r="H285" s="5" t="s">
        <v>2378</v>
      </c>
      <c r="I285" s="5" t="s">
        <v>2379</v>
      </c>
      <c r="J285" s="5" t="s">
        <v>2380</v>
      </c>
      <c r="K285" s="5" t="s">
        <v>2381</v>
      </c>
      <c r="L285" s="5" t="s">
        <v>234</v>
      </c>
      <c r="M285" s="5" t="s">
        <v>2382</v>
      </c>
      <c r="N285" s="5" t="s">
        <v>236</v>
      </c>
      <c r="O285" s="4" t="s">
        <v>2383</v>
      </c>
    </row>
    <row r="286" customFormat="false" ht="21.75" hidden="false" customHeight="true" outlineLevel="0" collapsed="false">
      <c r="B286" s="6" t="s">
        <v>125</v>
      </c>
      <c r="C286" s="6" t="s">
        <v>119</v>
      </c>
      <c r="D286" s="6" t="s">
        <v>2384</v>
      </c>
      <c r="E286" s="10" t="n">
        <v>3</v>
      </c>
      <c r="F286" s="6" t="s">
        <v>28</v>
      </c>
      <c r="G286" s="7" t="s">
        <v>2385</v>
      </c>
      <c r="H286" s="7" t="s">
        <v>2386</v>
      </c>
      <c r="I286" s="7" t="s">
        <v>2387</v>
      </c>
      <c r="J286" s="7" t="s">
        <v>2388</v>
      </c>
      <c r="K286" s="7" t="s">
        <v>2389</v>
      </c>
      <c r="L286" s="7" t="s">
        <v>234</v>
      </c>
      <c r="M286" s="7" t="s">
        <v>2318</v>
      </c>
      <c r="N286" s="7" t="s">
        <v>236</v>
      </c>
      <c r="O286" s="6" t="s">
        <v>2390</v>
      </c>
    </row>
    <row r="287" customFormat="false" ht="21.75" hidden="false" customHeight="true" outlineLevel="0" collapsed="false">
      <c r="B287" s="4" t="s">
        <v>125</v>
      </c>
      <c r="C287" s="4" t="s">
        <v>119</v>
      </c>
      <c r="D287" s="4" t="s">
        <v>2391</v>
      </c>
      <c r="E287" s="9" t="n">
        <v>3</v>
      </c>
      <c r="F287" s="4" t="s">
        <v>28</v>
      </c>
      <c r="G287" s="5" t="s">
        <v>2392</v>
      </c>
      <c r="H287" s="5" t="s">
        <v>2393</v>
      </c>
      <c r="I287" s="5" t="s">
        <v>2394</v>
      </c>
      <c r="J287" s="5" t="s">
        <v>2395</v>
      </c>
      <c r="K287" s="5" t="s">
        <v>2396</v>
      </c>
      <c r="L287" s="5" t="s">
        <v>389</v>
      </c>
      <c r="M287" s="5" t="s">
        <v>2397</v>
      </c>
      <c r="N287" s="5" t="s">
        <v>236</v>
      </c>
      <c r="O287" s="4" t="s">
        <v>2398</v>
      </c>
    </row>
    <row r="288" customFormat="false" ht="21.75" hidden="false" customHeight="true" outlineLevel="0" collapsed="false">
      <c r="B288" s="6" t="s">
        <v>125</v>
      </c>
      <c r="C288" s="6" t="s">
        <v>119</v>
      </c>
      <c r="D288" s="6" t="s">
        <v>2399</v>
      </c>
      <c r="E288" s="10" t="n">
        <v>4</v>
      </c>
      <c r="F288" s="6" t="s">
        <v>30</v>
      </c>
      <c r="G288" s="7" t="s">
        <v>2400</v>
      </c>
      <c r="H288" s="7" t="s">
        <v>2401</v>
      </c>
      <c r="I288" s="7" t="s">
        <v>2402</v>
      </c>
      <c r="J288" s="7" t="s">
        <v>2403</v>
      </c>
      <c r="K288" s="7" t="s">
        <v>2404</v>
      </c>
      <c r="L288" s="7" t="s">
        <v>335</v>
      </c>
      <c r="M288" s="7"/>
      <c r="N288" s="7" t="s">
        <v>236</v>
      </c>
      <c r="O288" s="6" t="s">
        <v>2405</v>
      </c>
    </row>
    <row r="289" customFormat="false" ht="21.75" hidden="false" customHeight="true" outlineLevel="0" collapsed="false">
      <c r="B289" s="4" t="s">
        <v>125</v>
      </c>
      <c r="C289" s="4" t="s">
        <v>119</v>
      </c>
      <c r="D289" s="4" t="s">
        <v>2406</v>
      </c>
      <c r="E289" s="9" t="n">
        <v>4</v>
      </c>
      <c r="F289" s="4" t="s">
        <v>30</v>
      </c>
      <c r="G289" s="5" t="s">
        <v>2407</v>
      </c>
      <c r="H289" s="5" t="s">
        <v>2408</v>
      </c>
      <c r="I289" s="5" t="s">
        <v>2409</v>
      </c>
      <c r="J289" s="5" t="s">
        <v>2410</v>
      </c>
      <c r="K289" s="5" t="s">
        <v>2411</v>
      </c>
      <c r="L289" s="5" t="s">
        <v>335</v>
      </c>
      <c r="M289" s="5" t="s">
        <v>2412</v>
      </c>
      <c r="N289" s="5" t="s">
        <v>236</v>
      </c>
      <c r="O289" s="4" t="s">
        <v>2413</v>
      </c>
    </row>
    <row r="290" customFormat="false" ht="21.75" hidden="false" customHeight="true" outlineLevel="0" collapsed="false">
      <c r="B290" s="6" t="s">
        <v>125</v>
      </c>
      <c r="C290" s="6" t="s">
        <v>119</v>
      </c>
      <c r="D290" s="6" t="s">
        <v>2414</v>
      </c>
      <c r="E290" s="10" t="n">
        <v>4</v>
      </c>
      <c r="F290" s="6" t="s">
        <v>30</v>
      </c>
      <c r="G290" s="7" t="s">
        <v>2415</v>
      </c>
      <c r="H290" s="7" t="s">
        <v>2416</v>
      </c>
      <c r="I290" s="7" t="s">
        <v>2417</v>
      </c>
      <c r="J290" s="7" t="s">
        <v>2418</v>
      </c>
      <c r="K290" s="7" t="s">
        <v>2419</v>
      </c>
      <c r="L290" s="7" t="s">
        <v>335</v>
      </c>
      <c r="M290" s="7"/>
      <c r="N290" s="7" t="s">
        <v>236</v>
      </c>
      <c r="O290" s="6" t="s">
        <v>2420</v>
      </c>
    </row>
    <row r="291" customFormat="false" ht="21.75" hidden="false" customHeight="true" outlineLevel="0" collapsed="false">
      <c r="B291" s="4" t="s">
        <v>131</v>
      </c>
      <c r="C291" s="4" t="s">
        <v>119</v>
      </c>
      <c r="D291" s="4" t="s">
        <v>2421</v>
      </c>
      <c r="E291" s="9" t="n">
        <v>0</v>
      </c>
      <c r="F291" s="4" t="s">
        <v>22</v>
      </c>
      <c r="G291" s="5" t="s">
        <v>2422</v>
      </c>
      <c r="H291" s="5" t="s">
        <v>2423</v>
      </c>
      <c r="I291" s="5" t="s">
        <v>1916</v>
      </c>
      <c r="J291" s="5" t="s">
        <v>1917</v>
      </c>
      <c r="K291" s="5" t="s">
        <v>2424</v>
      </c>
      <c r="L291" s="5" t="s">
        <v>244</v>
      </c>
      <c r="M291" s="5"/>
      <c r="N291" s="5" t="s">
        <v>236</v>
      </c>
      <c r="O291" s="4" t="s">
        <v>2425</v>
      </c>
    </row>
    <row r="292" customFormat="false" ht="21.75" hidden="false" customHeight="true" outlineLevel="0" collapsed="false">
      <c r="B292" s="6" t="s">
        <v>131</v>
      </c>
      <c r="C292" s="6" t="s">
        <v>119</v>
      </c>
      <c r="D292" s="6" t="s">
        <v>2426</v>
      </c>
      <c r="E292" s="10" t="n">
        <v>0</v>
      </c>
      <c r="F292" s="6" t="s">
        <v>22</v>
      </c>
      <c r="G292" s="7" t="s">
        <v>2427</v>
      </c>
      <c r="H292" s="7" t="s">
        <v>2428</v>
      </c>
      <c r="I292" s="7" t="s">
        <v>2429</v>
      </c>
      <c r="J292" s="7" t="s">
        <v>2430</v>
      </c>
      <c r="K292" s="7" t="s">
        <v>2431</v>
      </c>
      <c r="L292" s="7" t="s">
        <v>335</v>
      </c>
      <c r="M292" s="7" t="s">
        <v>2432</v>
      </c>
      <c r="N292" s="7" t="s">
        <v>236</v>
      </c>
      <c r="O292" s="6" t="s">
        <v>2433</v>
      </c>
    </row>
    <row r="293" customFormat="false" ht="21.75" hidden="false" customHeight="true" outlineLevel="0" collapsed="false">
      <c r="B293" s="4" t="s">
        <v>131</v>
      </c>
      <c r="C293" s="4" t="s">
        <v>119</v>
      </c>
      <c r="D293" s="4" t="s">
        <v>2434</v>
      </c>
      <c r="E293" s="9" t="n">
        <v>0</v>
      </c>
      <c r="F293" s="4" t="s">
        <v>22</v>
      </c>
      <c r="G293" s="5" t="s">
        <v>2435</v>
      </c>
      <c r="H293" s="5" t="s">
        <v>2436</v>
      </c>
      <c r="I293" s="5" t="s">
        <v>2437</v>
      </c>
      <c r="J293" s="5" t="s">
        <v>2438</v>
      </c>
      <c r="K293" s="5" t="s">
        <v>2439</v>
      </c>
      <c r="L293" s="5" t="s">
        <v>335</v>
      </c>
      <c r="M293" s="5" t="s">
        <v>2440</v>
      </c>
      <c r="N293" s="5" t="s">
        <v>236</v>
      </c>
      <c r="O293" s="4" t="s">
        <v>2441</v>
      </c>
    </row>
    <row r="294" customFormat="false" ht="21.75" hidden="false" customHeight="true" outlineLevel="0" collapsed="false">
      <c r="B294" s="6" t="s">
        <v>131</v>
      </c>
      <c r="C294" s="6" t="s">
        <v>119</v>
      </c>
      <c r="D294" s="6" t="s">
        <v>2442</v>
      </c>
      <c r="E294" s="10" t="n">
        <v>0</v>
      </c>
      <c r="F294" s="6" t="s">
        <v>22</v>
      </c>
      <c r="G294" s="7" t="s">
        <v>2443</v>
      </c>
      <c r="H294" s="7" t="s">
        <v>2444</v>
      </c>
      <c r="I294" s="7"/>
      <c r="J294" s="7" t="s">
        <v>2445</v>
      </c>
      <c r="K294" s="7" t="s">
        <v>2446</v>
      </c>
      <c r="L294" s="7" t="s">
        <v>244</v>
      </c>
      <c r="M294" s="7" t="s">
        <v>2447</v>
      </c>
      <c r="N294" s="7" t="s">
        <v>236</v>
      </c>
      <c r="O294" s="6" t="s">
        <v>2448</v>
      </c>
    </row>
    <row r="295" customFormat="false" ht="21.75" hidden="false" customHeight="true" outlineLevel="0" collapsed="false">
      <c r="B295" s="4" t="s">
        <v>131</v>
      </c>
      <c r="C295" s="4" t="s">
        <v>119</v>
      </c>
      <c r="D295" s="4" t="s">
        <v>2449</v>
      </c>
      <c r="E295" s="9" t="n">
        <v>1</v>
      </c>
      <c r="F295" s="4" t="s">
        <v>24</v>
      </c>
      <c r="G295" s="5" t="s">
        <v>2450</v>
      </c>
      <c r="H295" s="5" t="s">
        <v>2451</v>
      </c>
      <c r="I295" s="5" t="s">
        <v>2452</v>
      </c>
      <c r="J295" s="5" t="s">
        <v>2453</v>
      </c>
      <c r="K295" s="5" t="s">
        <v>2454</v>
      </c>
      <c r="L295" s="5" t="s">
        <v>244</v>
      </c>
      <c r="M295" s="5" t="s">
        <v>2455</v>
      </c>
      <c r="N295" s="5" t="s">
        <v>236</v>
      </c>
      <c r="O295" s="4" t="s">
        <v>2456</v>
      </c>
    </row>
    <row r="296" customFormat="false" ht="21.75" hidden="false" customHeight="true" outlineLevel="0" collapsed="false">
      <c r="B296" s="6" t="s">
        <v>131</v>
      </c>
      <c r="C296" s="6" t="s">
        <v>119</v>
      </c>
      <c r="D296" s="6" t="s">
        <v>2457</v>
      </c>
      <c r="E296" s="10" t="n">
        <v>1</v>
      </c>
      <c r="F296" s="6" t="s">
        <v>24</v>
      </c>
      <c r="G296" s="7" t="s">
        <v>2458</v>
      </c>
      <c r="H296" s="7" t="s">
        <v>2459</v>
      </c>
      <c r="I296" s="7" t="s">
        <v>2460</v>
      </c>
      <c r="J296" s="7" t="s">
        <v>2461</v>
      </c>
      <c r="K296" s="7" t="s">
        <v>2462</v>
      </c>
      <c r="L296" s="7" t="s">
        <v>244</v>
      </c>
      <c r="M296" s="7" t="s">
        <v>2463</v>
      </c>
      <c r="N296" s="7" t="s">
        <v>236</v>
      </c>
      <c r="O296" s="6" t="s">
        <v>2464</v>
      </c>
    </row>
    <row r="297" customFormat="false" ht="21.75" hidden="false" customHeight="true" outlineLevel="0" collapsed="false">
      <c r="B297" s="4" t="s">
        <v>131</v>
      </c>
      <c r="C297" s="4" t="s">
        <v>119</v>
      </c>
      <c r="D297" s="4" t="s">
        <v>2465</v>
      </c>
      <c r="E297" s="9" t="n">
        <v>1</v>
      </c>
      <c r="F297" s="4" t="s">
        <v>24</v>
      </c>
      <c r="G297" s="5" t="s">
        <v>2466</v>
      </c>
      <c r="H297" s="5" t="s">
        <v>2467</v>
      </c>
      <c r="I297" s="5" t="s">
        <v>2468</v>
      </c>
      <c r="J297" s="5" t="s">
        <v>2469</v>
      </c>
      <c r="K297" s="5" t="s">
        <v>2470</v>
      </c>
      <c r="L297" s="5" t="s">
        <v>389</v>
      </c>
      <c r="M297" s="5" t="s">
        <v>2471</v>
      </c>
      <c r="N297" s="5" t="s">
        <v>236</v>
      </c>
      <c r="O297" s="4" t="s">
        <v>2472</v>
      </c>
    </row>
    <row r="298" customFormat="false" ht="21.75" hidden="false" customHeight="true" outlineLevel="0" collapsed="false">
      <c r="B298" s="6" t="s">
        <v>131</v>
      </c>
      <c r="C298" s="6" t="s">
        <v>119</v>
      </c>
      <c r="D298" s="6" t="s">
        <v>2473</v>
      </c>
      <c r="E298" s="10" t="n">
        <v>1</v>
      </c>
      <c r="F298" s="6" t="s">
        <v>24</v>
      </c>
      <c r="G298" s="7" t="s">
        <v>2474</v>
      </c>
      <c r="H298" s="7" t="s">
        <v>2475</v>
      </c>
      <c r="I298" s="7" t="s">
        <v>2476</v>
      </c>
      <c r="J298" s="7" t="s">
        <v>2469</v>
      </c>
      <c r="K298" s="7" t="s">
        <v>2477</v>
      </c>
      <c r="L298" s="7" t="s">
        <v>244</v>
      </c>
      <c r="M298" s="7" t="s">
        <v>2478</v>
      </c>
      <c r="N298" s="7" t="s">
        <v>236</v>
      </c>
      <c r="O298" s="6" t="s">
        <v>2479</v>
      </c>
    </row>
    <row r="299" customFormat="false" ht="21.75" hidden="false" customHeight="true" outlineLevel="0" collapsed="false">
      <c r="B299" s="4" t="s">
        <v>131</v>
      </c>
      <c r="C299" s="4" t="s">
        <v>119</v>
      </c>
      <c r="D299" s="4" t="s">
        <v>2480</v>
      </c>
      <c r="E299" s="9" t="n">
        <v>2</v>
      </c>
      <c r="F299" s="4" t="s">
        <v>26</v>
      </c>
      <c r="G299" s="5" t="s">
        <v>2481</v>
      </c>
      <c r="H299" s="5" t="s">
        <v>2482</v>
      </c>
      <c r="I299" s="5" t="s">
        <v>2483</v>
      </c>
      <c r="J299" s="5" t="s">
        <v>2484</v>
      </c>
      <c r="K299" s="5" t="s">
        <v>2485</v>
      </c>
      <c r="L299" s="5" t="s">
        <v>389</v>
      </c>
      <c r="M299" s="5" t="s">
        <v>2486</v>
      </c>
      <c r="N299" s="5" t="s">
        <v>236</v>
      </c>
      <c r="O299" s="4" t="s">
        <v>2487</v>
      </c>
    </row>
    <row r="300" customFormat="false" ht="21.75" hidden="false" customHeight="true" outlineLevel="0" collapsed="false">
      <c r="B300" s="6" t="s">
        <v>131</v>
      </c>
      <c r="C300" s="6" t="s">
        <v>119</v>
      </c>
      <c r="D300" s="6" t="s">
        <v>2488</v>
      </c>
      <c r="E300" s="10" t="n">
        <v>2</v>
      </c>
      <c r="F300" s="6" t="s">
        <v>26</v>
      </c>
      <c r="G300" s="7" t="s">
        <v>2489</v>
      </c>
      <c r="H300" s="7" t="s">
        <v>2490</v>
      </c>
      <c r="I300" s="7" t="s">
        <v>2491</v>
      </c>
      <c r="J300" s="7" t="s">
        <v>2492</v>
      </c>
      <c r="K300" s="7" t="s">
        <v>2493</v>
      </c>
      <c r="L300" s="7" t="s">
        <v>244</v>
      </c>
      <c r="M300" s="7"/>
      <c r="N300" s="7" t="s">
        <v>236</v>
      </c>
      <c r="O300" s="6" t="s">
        <v>2494</v>
      </c>
    </row>
    <row r="301" customFormat="false" ht="21.75" hidden="false" customHeight="true" outlineLevel="0" collapsed="false">
      <c r="B301" s="4" t="s">
        <v>131</v>
      </c>
      <c r="C301" s="4" t="s">
        <v>119</v>
      </c>
      <c r="D301" s="4" t="s">
        <v>2495</v>
      </c>
      <c r="E301" s="9" t="n">
        <v>2</v>
      </c>
      <c r="F301" s="4" t="s">
        <v>26</v>
      </c>
      <c r="G301" s="5" t="s">
        <v>2496</v>
      </c>
      <c r="H301" s="5" t="s">
        <v>2497</v>
      </c>
      <c r="I301" s="5" t="s">
        <v>2498</v>
      </c>
      <c r="J301" s="5" t="s">
        <v>2499</v>
      </c>
      <c r="K301" s="5" t="s">
        <v>2500</v>
      </c>
      <c r="L301" s="5" t="s">
        <v>260</v>
      </c>
      <c r="M301" s="5"/>
      <c r="N301" s="5" t="s">
        <v>236</v>
      </c>
      <c r="O301" s="4" t="s">
        <v>2501</v>
      </c>
    </row>
    <row r="302" customFormat="false" ht="21.75" hidden="false" customHeight="true" outlineLevel="0" collapsed="false">
      <c r="B302" s="6" t="s">
        <v>131</v>
      </c>
      <c r="C302" s="6" t="s">
        <v>119</v>
      </c>
      <c r="D302" s="6" t="s">
        <v>2502</v>
      </c>
      <c r="E302" s="10" t="n">
        <v>3</v>
      </c>
      <c r="F302" s="6" t="s">
        <v>28</v>
      </c>
      <c r="G302" s="7" t="s">
        <v>2503</v>
      </c>
      <c r="H302" s="7" t="s">
        <v>2504</v>
      </c>
      <c r="I302" s="7" t="s">
        <v>2505</v>
      </c>
      <c r="J302" s="7" t="s">
        <v>2506</v>
      </c>
      <c r="K302" s="7" t="s">
        <v>2507</v>
      </c>
      <c r="L302" s="7" t="s">
        <v>244</v>
      </c>
      <c r="M302" s="7" t="s">
        <v>2508</v>
      </c>
      <c r="N302" s="7" t="s">
        <v>236</v>
      </c>
      <c r="O302" s="6" t="s">
        <v>2509</v>
      </c>
    </row>
    <row r="303" customFormat="false" ht="21.75" hidden="false" customHeight="true" outlineLevel="0" collapsed="false">
      <c r="B303" s="4" t="s">
        <v>131</v>
      </c>
      <c r="C303" s="4" t="s">
        <v>119</v>
      </c>
      <c r="D303" s="4" t="s">
        <v>2510</v>
      </c>
      <c r="E303" s="9" t="n">
        <v>3</v>
      </c>
      <c r="F303" s="4" t="s">
        <v>28</v>
      </c>
      <c r="G303" s="5" t="s">
        <v>2511</v>
      </c>
      <c r="H303" s="5" t="s">
        <v>2512</v>
      </c>
      <c r="I303" s="5" t="s">
        <v>2513</v>
      </c>
      <c r="J303" s="5" t="s">
        <v>2514</v>
      </c>
      <c r="K303" s="5" t="s">
        <v>2515</v>
      </c>
      <c r="L303" s="5" t="s">
        <v>389</v>
      </c>
      <c r="M303" s="5" t="s">
        <v>2516</v>
      </c>
      <c r="N303" s="5" t="s">
        <v>236</v>
      </c>
      <c r="O303" s="4" t="s">
        <v>2517</v>
      </c>
    </row>
    <row r="304" customFormat="false" ht="21.75" hidden="false" customHeight="true" outlineLevel="0" collapsed="false">
      <c r="B304" s="6" t="s">
        <v>131</v>
      </c>
      <c r="C304" s="6" t="s">
        <v>119</v>
      </c>
      <c r="D304" s="6" t="s">
        <v>2518</v>
      </c>
      <c r="E304" s="10" t="n">
        <v>3</v>
      </c>
      <c r="F304" s="6" t="s">
        <v>28</v>
      </c>
      <c r="G304" s="7" t="s">
        <v>2519</v>
      </c>
      <c r="H304" s="7" t="s">
        <v>2520</v>
      </c>
      <c r="I304" s="7" t="s">
        <v>2521</v>
      </c>
      <c r="J304" s="7" t="s">
        <v>2522</v>
      </c>
      <c r="K304" s="7" t="s">
        <v>2523</v>
      </c>
      <c r="L304" s="7" t="s">
        <v>260</v>
      </c>
      <c r="M304" s="7" t="s">
        <v>2524</v>
      </c>
      <c r="N304" s="7" t="s">
        <v>236</v>
      </c>
      <c r="O304" s="6" t="s">
        <v>2525</v>
      </c>
    </row>
    <row r="305" customFormat="false" ht="21.75" hidden="false" customHeight="true" outlineLevel="0" collapsed="false">
      <c r="B305" s="4" t="s">
        <v>131</v>
      </c>
      <c r="C305" s="4" t="s">
        <v>119</v>
      </c>
      <c r="D305" s="4" t="s">
        <v>2526</v>
      </c>
      <c r="E305" s="9" t="n">
        <v>4</v>
      </c>
      <c r="F305" s="4" t="s">
        <v>30</v>
      </c>
      <c r="G305" s="5" t="s">
        <v>2527</v>
      </c>
      <c r="H305" s="5" t="s">
        <v>2528</v>
      </c>
      <c r="I305" s="5" t="s">
        <v>2529</v>
      </c>
      <c r="J305" s="5" t="s">
        <v>2530</v>
      </c>
      <c r="K305" s="5" t="s">
        <v>2531</v>
      </c>
      <c r="L305" s="5" t="s">
        <v>260</v>
      </c>
      <c r="M305" s="5"/>
      <c r="N305" s="5" t="s">
        <v>236</v>
      </c>
      <c r="O305" s="4" t="s">
        <v>2532</v>
      </c>
    </row>
    <row r="306" customFormat="false" ht="21.75" hidden="false" customHeight="true" outlineLevel="0" collapsed="false">
      <c r="B306" s="6" t="s">
        <v>131</v>
      </c>
      <c r="C306" s="6" t="s">
        <v>119</v>
      </c>
      <c r="D306" s="6" t="s">
        <v>2533</v>
      </c>
      <c r="E306" s="10" t="n">
        <v>4</v>
      </c>
      <c r="F306" s="6" t="s">
        <v>30</v>
      </c>
      <c r="G306" s="7" t="s">
        <v>2534</v>
      </c>
      <c r="H306" s="7" t="s">
        <v>2535</v>
      </c>
      <c r="I306" s="7" t="s">
        <v>2536</v>
      </c>
      <c r="J306" s="7" t="s">
        <v>2537</v>
      </c>
      <c r="K306" s="7" t="s">
        <v>2538</v>
      </c>
      <c r="L306" s="7" t="s">
        <v>244</v>
      </c>
      <c r="M306" s="7"/>
      <c r="N306" s="7" t="s">
        <v>236</v>
      </c>
      <c r="O306" s="6" t="s">
        <v>2539</v>
      </c>
    </row>
    <row r="307" customFormat="false" ht="21.75" hidden="false" customHeight="true" outlineLevel="0" collapsed="false">
      <c r="B307" s="4" t="s">
        <v>137</v>
      </c>
      <c r="C307" s="4" t="s">
        <v>119</v>
      </c>
      <c r="D307" s="4" t="s">
        <v>2540</v>
      </c>
      <c r="E307" s="9" t="n">
        <v>0</v>
      </c>
      <c r="F307" s="4" t="s">
        <v>22</v>
      </c>
      <c r="G307" s="5" t="s">
        <v>2541</v>
      </c>
      <c r="H307" s="5" t="s">
        <v>2542</v>
      </c>
      <c r="I307" s="5" t="s">
        <v>2543</v>
      </c>
      <c r="J307" s="5" t="s">
        <v>2544</v>
      </c>
      <c r="K307" s="5"/>
      <c r="L307" s="5"/>
      <c r="M307" s="5"/>
      <c r="N307" s="5" t="s">
        <v>236</v>
      </c>
      <c r="O307" s="4" t="s">
        <v>2545</v>
      </c>
    </row>
    <row r="308" customFormat="false" ht="21.75" hidden="false" customHeight="true" outlineLevel="0" collapsed="false">
      <c r="B308" s="6" t="s">
        <v>137</v>
      </c>
      <c r="C308" s="6" t="s">
        <v>119</v>
      </c>
      <c r="D308" s="6" t="s">
        <v>2546</v>
      </c>
      <c r="E308" s="10" t="n">
        <v>0</v>
      </c>
      <c r="F308" s="6" t="s">
        <v>22</v>
      </c>
      <c r="G308" s="7" t="s">
        <v>2547</v>
      </c>
      <c r="H308" s="7" t="s">
        <v>2548</v>
      </c>
      <c r="I308" s="7" t="s">
        <v>2549</v>
      </c>
      <c r="J308" s="7" t="s">
        <v>2550</v>
      </c>
      <c r="K308" s="7" t="s">
        <v>2551</v>
      </c>
      <c r="L308" s="7" t="s">
        <v>234</v>
      </c>
      <c r="M308" s="7"/>
      <c r="N308" s="7" t="s">
        <v>236</v>
      </c>
      <c r="O308" s="6" t="s">
        <v>2552</v>
      </c>
    </row>
    <row r="309" customFormat="false" ht="21.75" hidden="false" customHeight="true" outlineLevel="0" collapsed="false">
      <c r="B309" s="4" t="s">
        <v>137</v>
      </c>
      <c r="C309" s="4" t="s">
        <v>119</v>
      </c>
      <c r="D309" s="4" t="s">
        <v>2553</v>
      </c>
      <c r="E309" s="9" t="n">
        <v>1</v>
      </c>
      <c r="F309" s="4" t="s">
        <v>24</v>
      </c>
      <c r="G309" s="5" t="s">
        <v>2554</v>
      </c>
      <c r="H309" s="5" t="s">
        <v>2555</v>
      </c>
      <c r="I309" s="5" t="s">
        <v>2556</v>
      </c>
      <c r="J309" s="5" t="s">
        <v>2557</v>
      </c>
      <c r="K309" s="5" t="s">
        <v>2558</v>
      </c>
      <c r="L309" s="5" t="s">
        <v>260</v>
      </c>
      <c r="M309" s="5"/>
      <c r="N309" s="5" t="s">
        <v>236</v>
      </c>
      <c r="O309" s="4" t="s">
        <v>2559</v>
      </c>
    </row>
    <row r="310" customFormat="false" ht="21.75" hidden="false" customHeight="true" outlineLevel="0" collapsed="false">
      <c r="B310" s="6" t="s">
        <v>137</v>
      </c>
      <c r="C310" s="6" t="s">
        <v>119</v>
      </c>
      <c r="D310" s="6" t="s">
        <v>2560</v>
      </c>
      <c r="E310" s="10" t="n">
        <v>1</v>
      </c>
      <c r="F310" s="6" t="s">
        <v>24</v>
      </c>
      <c r="G310" s="7" t="s">
        <v>2561</v>
      </c>
      <c r="H310" s="7" t="s">
        <v>2562</v>
      </c>
      <c r="I310" s="7" t="s">
        <v>2563</v>
      </c>
      <c r="J310" s="7" t="s">
        <v>2564</v>
      </c>
      <c r="K310" s="7" t="s">
        <v>2565</v>
      </c>
      <c r="L310" s="7" t="s">
        <v>234</v>
      </c>
      <c r="M310" s="7"/>
      <c r="N310" s="7" t="s">
        <v>236</v>
      </c>
      <c r="O310" s="6" t="s">
        <v>2566</v>
      </c>
    </row>
    <row r="311" customFormat="false" ht="21.75" hidden="false" customHeight="true" outlineLevel="0" collapsed="false">
      <c r="B311" s="4" t="s">
        <v>137</v>
      </c>
      <c r="C311" s="4" t="s">
        <v>119</v>
      </c>
      <c r="D311" s="4" t="s">
        <v>2567</v>
      </c>
      <c r="E311" s="9" t="n">
        <v>1</v>
      </c>
      <c r="F311" s="4" t="s">
        <v>24</v>
      </c>
      <c r="G311" s="5" t="s">
        <v>2568</v>
      </c>
      <c r="H311" s="5" t="s">
        <v>2569</v>
      </c>
      <c r="I311" s="5" t="s">
        <v>2570</v>
      </c>
      <c r="J311" s="5" t="s">
        <v>2571</v>
      </c>
      <c r="K311" s="5"/>
      <c r="L311" s="5"/>
      <c r="M311" s="5" t="s">
        <v>2572</v>
      </c>
      <c r="N311" s="5" t="s">
        <v>236</v>
      </c>
      <c r="O311" s="4" t="s">
        <v>2573</v>
      </c>
    </row>
    <row r="312" customFormat="false" ht="21.75" hidden="false" customHeight="true" outlineLevel="0" collapsed="false">
      <c r="B312" s="6" t="s">
        <v>137</v>
      </c>
      <c r="C312" s="6" t="s">
        <v>119</v>
      </c>
      <c r="D312" s="6" t="s">
        <v>2574</v>
      </c>
      <c r="E312" s="10" t="n">
        <v>2</v>
      </c>
      <c r="F312" s="6" t="s">
        <v>26</v>
      </c>
      <c r="G312" s="7" t="s">
        <v>2575</v>
      </c>
      <c r="H312" s="7" t="s">
        <v>2576</v>
      </c>
      <c r="I312" s="7" t="s">
        <v>2577</v>
      </c>
      <c r="J312" s="7" t="s">
        <v>2578</v>
      </c>
      <c r="K312" s="7" t="s">
        <v>2579</v>
      </c>
      <c r="L312" s="7" t="s">
        <v>389</v>
      </c>
      <c r="M312" s="7" t="s">
        <v>2580</v>
      </c>
      <c r="N312" s="7" t="s">
        <v>236</v>
      </c>
      <c r="O312" s="6" t="s">
        <v>2581</v>
      </c>
    </row>
    <row r="313" customFormat="false" ht="21.75" hidden="false" customHeight="true" outlineLevel="0" collapsed="false">
      <c r="B313" s="4" t="s">
        <v>137</v>
      </c>
      <c r="C313" s="4" t="s">
        <v>119</v>
      </c>
      <c r="D313" s="4" t="s">
        <v>2582</v>
      </c>
      <c r="E313" s="9" t="n">
        <v>2</v>
      </c>
      <c r="F313" s="4" t="s">
        <v>26</v>
      </c>
      <c r="G313" s="5" t="s">
        <v>2583</v>
      </c>
      <c r="H313" s="5" t="s">
        <v>2584</v>
      </c>
      <c r="I313" s="5" t="s">
        <v>2585</v>
      </c>
      <c r="J313" s="5" t="s">
        <v>2586</v>
      </c>
      <c r="K313" s="5" t="s">
        <v>2587</v>
      </c>
      <c r="L313" s="5" t="s">
        <v>244</v>
      </c>
      <c r="M313" s="5"/>
      <c r="N313" s="5" t="s">
        <v>236</v>
      </c>
      <c r="O313" s="4" t="s">
        <v>2588</v>
      </c>
    </row>
    <row r="314" customFormat="false" ht="21.75" hidden="false" customHeight="true" outlineLevel="0" collapsed="false">
      <c r="B314" s="6" t="s">
        <v>137</v>
      </c>
      <c r="C314" s="6" t="s">
        <v>119</v>
      </c>
      <c r="D314" s="6" t="s">
        <v>2589</v>
      </c>
      <c r="E314" s="10" t="n">
        <v>2</v>
      </c>
      <c r="F314" s="6" t="s">
        <v>26</v>
      </c>
      <c r="G314" s="7" t="s">
        <v>2590</v>
      </c>
      <c r="H314" s="7" t="s">
        <v>2591</v>
      </c>
      <c r="I314" s="7" t="s">
        <v>2592</v>
      </c>
      <c r="J314" s="7" t="s">
        <v>2593</v>
      </c>
      <c r="K314" s="7" t="s">
        <v>2594</v>
      </c>
      <c r="L314" s="7" t="s">
        <v>260</v>
      </c>
      <c r="M314" s="7"/>
      <c r="N314" s="7" t="s">
        <v>236</v>
      </c>
      <c r="O314" s="6" t="s">
        <v>2595</v>
      </c>
    </row>
    <row r="315" customFormat="false" ht="21.75" hidden="false" customHeight="true" outlineLevel="0" collapsed="false">
      <c r="B315" s="4" t="s">
        <v>137</v>
      </c>
      <c r="C315" s="4" t="s">
        <v>119</v>
      </c>
      <c r="D315" s="4" t="s">
        <v>2596</v>
      </c>
      <c r="E315" s="9" t="n">
        <v>2</v>
      </c>
      <c r="F315" s="4" t="s">
        <v>26</v>
      </c>
      <c r="G315" s="5" t="s">
        <v>2597</v>
      </c>
      <c r="H315" s="5" t="s">
        <v>2598</v>
      </c>
      <c r="I315" s="5" t="s">
        <v>2599</v>
      </c>
      <c r="J315" s="5" t="s">
        <v>2600</v>
      </c>
      <c r="K315" s="5" t="s">
        <v>2601</v>
      </c>
      <c r="L315" s="5" t="s">
        <v>389</v>
      </c>
      <c r="M315" s="5"/>
      <c r="N315" s="5" t="s">
        <v>236</v>
      </c>
      <c r="O315" s="4" t="s">
        <v>2602</v>
      </c>
    </row>
    <row r="316" customFormat="false" ht="21.75" hidden="false" customHeight="true" outlineLevel="0" collapsed="false">
      <c r="B316" s="6" t="s">
        <v>137</v>
      </c>
      <c r="C316" s="6" t="s">
        <v>119</v>
      </c>
      <c r="D316" s="6" t="s">
        <v>2603</v>
      </c>
      <c r="E316" s="10" t="n">
        <v>3</v>
      </c>
      <c r="F316" s="6" t="s">
        <v>28</v>
      </c>
      <c r="G316" s="7" t="s">
        <v>2604</v>
      </c>
      <c r="H316" s="7" t="s">
        <v>2605</v>
      </c>
      <c r="I316" s="7" t="s">
        <v>2606</v>
      </c>
      <c r="J316" s="7" t="s">
        <v>2607</v>
      </c>
      <c r="K316" s="7"/>
      <c r="L316" s="7"/>
      <c r="M316" s="7" t="s">
        <v>2608</v>
      </c>
      <c r="N316" s="7" t="s">
        <v>236</v>
      </c>
      <c r="O316" s="6" t="s">
        <v>2609</v>
      </c>
    </row>
    <row r="317" customFormat="false" ht="21.75" hidden="false" customHeight="true" outlineLevel="0" collapsed="false">
      <c r="B317" s="4" t="s">
        <v>137</v>
      </c>
      <c r="C317" s="4" t="s">
        <v>119</v>
      </c>
      <c r="D317" s="4" t="s">
        <v>2610</v>
      </c>
      <c r="E317" s="9" t="n">
        <v>3</v>
      </c>
      <c r="F317" s="4" t="s">
        <v>28</v>
      </c>
      <c r="G317" s="5" t="s">
        <v>2611</v>
      </c>
      <c r="H317" s="5" t="s">
        <v>2612</v>
      </c>
      <c r="I317" s="5" t="s">
        <v>2613</v>
      </c>
      <c r="J317" s="5" t="s">
        <v>2614</v>
      </c>
      <c r="K317" s="5"/>
      <c r="L317" s="5"/>
      <c r="M317" s="5" t="s">
        <v>2615</v>
      </c>
      <c r="N317" s="5" t="s">
        <v>236</v>
      </c>
      <c r="O317" s="4" t="s">
        <v>2616</v>
      </c>
    </row>
    <row r="318" customFormat="false" ht="21.75" hidden="false" customHeight="true" outlineLevel="0" collapsed="false">
      <c r="B318" s="6" t="s">
        <v>137</v>
      </c>
      <c r="C318" s="6" t="s">
        <v>119</v>
      </c>
      <c r="D318" s="6" t="s">
        <v>2617</v>
      </c>
      <c r="E318" s="10" t="n">
        <v>4</v>
      </c>
      <c r="F318" s="6" t="s">
        <v>30</v>
      </c>
      <c r="G318" s="7" t="s">
        <v>2618</v>
      </c>
      <c r="H318" s="7" t="s">
        <v>2619</v>
      </c>
      <c r="I318" s="7" t="s">
        <v>2620</v>
      </c>
      <c r="J318" s="7" t="s">
        <v>2621</v>
      </c>
      <c r="K318" s="7" t="s">
        <v>2622</v>
      </c>
      <c r="L318" s="7" t="s">
        <v>244</v>
      </c>
      <c r="M318" s="7"/>
      <c r="N318" s="7" t="s">
        <v>236</v>
      </c>
      <c r="O318" s="6" t="s">
        <v>2623</v>
      </c>
    </row>
    <row r="319" customFormat="false" ht="21.75" hidden="false" customHeight="true" outlineLevel="0" collapsed="false">
      <c r="B319" s="4" t="s">
        <v>137</v>
      </c>
      <c r="C319" s="4" t="s">
        <v>119</v>
      </c>
      <c r="D319" s="4" t="s">
        <v>2624</v>
      </c>
      <c r="E319" s="9" t="n">
        <v>4</v>
      </c>
      <c r="F319" s="4" t="s">
        <v>30</v>
      </c>
      <c r="G319" s="5" t="s">
        <v>2625</v>
      </c>
      <c r="H319" s="5" t="s">
        <v>2626</v>
      </c>
      <c r="I319" s="5" t="s">
        <v>2627</v>
      </c>
      <c r="J319" s="5" t="s">
        <v>2628</v>
      </c>
      <c r="K319" s="5" t="s">
        <v>2629</v>
      </c>
      <c r="L319" s="5" t="s">
        <v>335</v>
      </c>
      <c r="M319" s="5"/>
      <c r="N319" s="5" t="s">
        <v>236</v>
      </c>
      <c r="O319" s="4" t="s">
        <v>2630</v>
      </c>
    </row>
    <row r="320" customFormat="false" ht="21.75" hidden="false" customHeight="true" outlineLevel="0" collapsed="false">
      <c r="B320" s="6" t="s">
        <v>137</v>
      </c>
      <c r="C320" s="6" t="s">
        <v>119</v>
      </c>
      <c r="D320" s="6" t="s">
        <v>2631</v>
      </c>
      <c r="E320" s="10" t="n">
        <v>4</v>
      </c>
      <c r="F320" s="6" t="s">
        <v>30</v>
      </c>
      <c r="G320" s="7" t="s">
        <v>2632</v>
      </c>
      <c r="H320" s="7" t="s">
        <v>2633</v>
      </c>
      <c r="I320" s="7" t="s">
        <v>2634</v>
      </c>
      <c r="J320" s="7" t="s">
        <v>2635</v>
      </c>
      <c r="K320" s="7"/>
      <c r="L320" s="7"/>
      <c r="M320" s="7"/>
      <c r="N320" s="7" t="s">
        <v>236</v>
      </c>
      <c r="O320" s="6" t="s">
        <v>2636</v>
      </c>
    </row>
    <row r="321" customFormat="false" ht="21.75" hidden="false" customHeight="true" outlineLevel="0" collapsed="false">
      <c r="B321" s="4" t="s">
        <v>143</v>
      </c>
      <c r="C321" s="4" t="s">
        <v>144</v>
      </c>
      <c r="D321" s="4" t="s">
        <v>2637</v>
      </c>
      <c r="E321" s="9" t="n">
        <v>0</v>
      </c>
      <c r="F321" s="4" t="s">
        <v>22</v>
      </c>
      <c r="G321" s="5" t="s">
        <v>2638</v>
      </c>
      <c r="H321" s="5" t="s">
        <v>2639</v>
      </c>
      <c r="I321" s="5" t="s">
        <v>2640</v>
      </c>
      <c r="J321" s="5" t="s">
        <v>2641</v>
      </c>
      <c r="K321" s="5" t="s">
        <v>2642</v>
      </c>
      <c r="L321" s="5" t="s">
        <v>244</v>
      </c>
      <c r="M321" s="5" t="s">
        <v>2643</v>
      </c>
      <c r="N321" s="5" t="s">
        <v>236</v>
      </c>
      <c r="O321" s="4" t="s">
        <v>2644</v>
      </c>
    </row>
    <row r="322" customFormat="false" ht="21.75" hidden="false" customHeight="true" outlineLevel="0" collapsed="false">
      <c r="B322" s="6" t="s">
        <v>143</v>
      </c>
      <c r="C322" s="6" t="s">
        <v>144</v>
      </c>
      <c r="D322" s="6" t="s">
        <v>2645</v>
      </c>
      <c r="E322" s="10" t="n">
        <v>0</v>
      </c>
      <c r="F322" s="6" t="s">
        <v>22</v>
      </c>
      <c r="G322" s="7" t="s">
        <v>2646</v>
      </c>
      <c r="H322" s="7" t="s">
        <v>2647</v>
      </c>
      <c r="I322" s="7" t="s">
        <v>2648</v>
      </c>
      <c r="J322" s="7" t="s">
        <v>2649</v>
      </c>
      <c r="K322" s="7" t="s">
        <v>2650</v>
      </c>
      <c r="L322" s="7" t="s">
        <v>260</v>
      </c>
      <c r="M322" s="7" t="s">
        <v>2651</v>
      </c>
      <c r="N322" s="7" t="s">
        <v>236</v>
      </c>
      <c r="O322" s="6" t="s">
        <v>2652</v>
      </c>
    </row>
    <row r="323" customFormat="false" ht="21.75" hidden="false" customHeight="true" outlineLevel="0" collapsed="false">
      <c r="B323" s="4" t="s">
        <v>143</v>
      </c>
      <c r="C323" s="4" t="s">
        <v>144</v>
      </c>
      <c r="D323" s="4" t="s">
        <v>2653</v>
      </c>
      <c r="E323" s="9" t="n">
        <v>1</v>
      </c>
      <c r="F323" s="4" t="s">
        <v>24</v>
      </c>
      <c r="G323" s="5" t="s">
        <v>2654</v>
      </c>
      <c r="H323" s="5" t="s">
        <v>2655</v>
      </c>
      <c r="I323" s="5" t="s">
        <v>2656</v>
      </c>
      <c r="J323" s="5" t="s">
        <v>2657</v>
      </c>
      <c r="K323" s="5" t="s">
        <v>2658</v>
      </c>
      <c r="L323" s="5" t="s">
        <v>260</v>
      </c>
      <c r="M323" s="5" t="s">
        <v>2659</v>
      </c>
      <c r="N323" s="5" t="s">
        <v>236</v>
      </c>
      <c r="O323" s="4" t="s">
        <v>2660</v>
      </c>
    </row>
    <row r="324" customFormat="false" ht="21.75" hidden="false" customHeight="true" outlineLevel="0" collapsed="false">
      <c r="B324" s="6" t="s">
        <v>143</v>
      </c>
      <c r="C324" s="6" t="s">
        <v>144</v>
      </c>
      <c r="D324" s="6" t="s">
        <v>2661</v>
      </c>
      <c r="E324" s="10" t="n">
        <v>1</v>
      </c>
      <c r="F324" s="6" t="s">
        <v>24</v>
      </c>
      <c r="G324" s="7" t="s">
        <v>2662</v>
      </c>
      <c r="H324" s="7" t="s">
        <v>2663</v>
      </c>
      <c r="I324" s="7" t="s">
        <v>2664</v>
      </c>
      <c r="J324" s="7" t="s">
        <v>2665</v>
      </c>
      <c r="K324" s="7" t="s">
        <v>2666</v>
      </c>
      <c r="L324" s="7" t="s">
        <v>244</v>
      </c>
      <c r="M324" s="7" t="s">
        <v>2667</v>
      </c>
      <c r="N324" s="7" t="s">
        <v>236</v>
      </c>
      <c r="O324" s="6" t="s">
        <v>2668</v>
      </c>
    </row>
    <row r="325" customFormat="false" ht="21.75" hidden="false" customHeight="true" outlineLevel="0" collapsed="false">
      <c r="B325" s="4" t="s">
        <v>143</v>
      </c>
      <c r="C325" s="4" t="s">
        <v>144</v>
      </c>
      <c r="D325" s="4" t="s">
        <v>2669</v>
      </c>
      <c r="E325" s="9" t="n">
        <v>1</v>
      </c>
      <c r="F325" s="4" t="s">
        <v>24</v>
      </c>
      <c r="G325" s="5" t="s">
        <v>2670</v>
      </c>
      <c r="H325" s="5" t="s">
        <v>2671</v>
      </c>
      <c r="I325" s="5" t="s">
        <v>2672</v>
      </c>
      <c r="J325" s="5" t="s">
        <v>2673</v>
      </c>
      <c r="K325" s="5" t="s">
        <v>2674</v>
      </c>
      <c r="L325" s="5" t="s">
        <v>389</v>
      </c>
      <c r="M325" s="5" t="s">
        <v>2675</v>
      </c>
      <c r="N325" s="5" t="s">
        <v>236</v>
      </c>
      <c r="O325" s="4" t="s">
        <v>2676</v>
      </c>
    </row>
    <row r="326" customFormat="false" ht="21.75" hidden="false" customHeight="true" outlineLevel="0" collapsed="false">
      <c r="B326" s="6" t="s">
        <v>143</v>
      </c>
      <c r="C326" s="6" t="s">
        <v>144</v>
      </c>
      <c r="D326" s="6" t="s">
        <v>2677</v>
      </c>
      <c r="E326" s="10" t="n">
        <v>1</v>
      </c>
      <c r="F326" s="6" t="s">
        <v>24</v>
      </c>
      <c r="G326" s="7" t="s">
        <v>2678</v>
      </c>
      <c r="H326" s="7" t="s">
        <v>2679</v>
      </c>
      <c r="I326" s="7" t="s">
        <v>2680</v>
      </c>
      <c r="J326" s="7" t="s">
        <v>2681</v>
      </c>
      <c r="K326" s="7" t="s">
        <v>2682</v>
      </c>
      <c r="L326" s="7" t="s">
        <v>389</v>
      </c>
      <c r="M326" s="7" t="s">
        <v>2683</v>
      </c>
      <c r="N326" s="7" t="s">
        <v>236</v>
      </c>
      <c r="O326" s="6" t="s">
        <v>2684</v>
      </c>
    </row>
    <row r="327" customFormat="false" ht="21.75" hidden="false" customHeight="true" outlineLevel="0" collapsed="false">
      <c r="B327" s="4" t="s">
        <v>143</v>
      </c>
      <c r="C327" s="4" t="s">
        <v>144</v>
      </c>
      <c r="D327" s="4" t="s">
        <v>2685</v>
      </c>
      <c r="E327" s="9" t="n">
        <v>2</v>
      </c>
      <c r="F327" s="4" t="s">
        <v>26</v>
      </c>
      <c r="G327" s="5" t="s">
        <v>2686</v>
      </c>
      <c r="H327" s="5" t="s">
        <v>2687</v>
      </c>
      <c r="I327" s="5" t="s">
        <v>2688</v>
      </c>
      <c r="J327" s="5" t="s">
        <v>2689</v>
      </c>
      <c r="K327" s="5" t="s">
        <v>2690</v>
      </c>
      <c r="L327" s="5" t="s">
        <v>260</v>
      </c>
      <c r="M327" s="5" t="s">
        <v>2691</v>
      </c>
      <c r="N327" s="5" t="s">
        <v>236</v>
      </c>
      <c r="O327" s="4" t="s">
        <v>2692</v>
      </c>
    </row>
    <row r="328" customFormat="false" ht="21.75" hidden="false" customHeight="true" outlineLevel="0" collapsed="false">
      <c r="B328" s="6" t="s">
        <v>143</v>
      </c>
      <c r="C328" s="6" t="s">
        <v>144</v>
      </c>
      <c r="D328" s="6" t="s">
        <v>2693</v>
      </c>
      <c r="E328" s="10" t="n">
        <v>2</v>
      </c>
      <c r="F328" s="6" t="s">
        <v>26</v>
      </c>
      <c r="G328" s="7" t="s">
        <v>2694</v>
      </c>
      <c r="H328" s="7" t="s">
        <v>2695</v>
      </c>
      <c r="I328" s="7" t="s">
        <v>2696</v>
      </c>
      <c r="J328" s="7" t="s">
        <v>2697</v>
      </c>
      <c r="K328" s="7" t="s">
        <v>2698</v>
      </c>
      <c r="L328" s="7" t="s">
        <v>389</v>
      </c>
      <c r="M328" s="7" t="s">
        <v>2699</v>
      </c>
      <c r="N328" s="7" t="s">
        <v>236</v>
      </c>
      <c r="O328" s="6" t="s">
        <v>2700</v>
      </c>
    </row>
    <row r="329" customFormat="false" ht="21.75" hidden="false" customHeight="true" outlineLevel="0" collapsed="false">
      <c r="B329" s="4" t="s">
        <v>143</v>
      </c>
      <c r="C329" s="4" t="s">
        <v>144</v>
      </c>
      <c r="D329" s="4" t="s">
        <v>2701</v>
      </c>
      <c r="E329" s="9" t="n">
        <v>2</v>
      </c>
      <c r="F329" s="4" t="s">
        <v>26</v>
      </c>
      <c r="G329" s="5" t="s">
        <v>2702</v>
      </c>
      <c r="H329" s="5" t="s">
        <v>2703</v>
      </c>
      <c r="I329" s="5" t="s">
        <v>2704</v>
      </c>
      <c r="J329" s="5" t="s">
        <v>2705</v>
      </c>
      <c r="K329" s="5" t="s">
        <v>2706</v>
      </c>
      <c r="L329" s="5" t="s">
        <v>389</v>
      </c>
      <c r="M329" s="5" t="s">
        <v>2707</v>
      </c>
      <c r="N329" s="5" t="s">
        <v>236</v>
      </c>
      <c r="O329" s="4" t="s">
        <v>2708</v>
      </c>
    </row>
    <row r="330" customFormat="false" ht="21.75" hidden="false" customHeight="true" outlineLevel="0" collapsed="false">
      <c r="B330" s="6" t="s">
        <v>143</v>
      </c>
      <c r="C330" s="6" t="s">
        <v>144</v>
      </c>
      <c r="D330" s="6" t="s">
        <v>2709</v>
      </c>
      <c r="E330" s="10" t="n">
        <v>2</v>
      </c>
      <c r="F330" s="6" t="s">
        <v>26</v>
      </c>
      <c r="G330" s="7" t="s">
        <v>2710</v>
      </c>
      <c r="H330" s="7" t="s">
        <v>2711</v>
      </c>
      <c r="I330" s="7" t="s">
        <v>2712</v>
      </c>
      <c r="J330" s="7" t="s">
        <v>2713</v>
      </c>
      <c r="K330" s="7" t="s">
        <v>2714</v>
      </c>
      <c r="L330" s="7" t="s">
        <v>389</v>
      </c>
      <c r="M330" s="7" t="s">
        <v>2715</v>
      </c>
      <c r="N330" s="7" t="s">
        <v>236</v>
      </c>
      <c r="O330" s="6" t="s">
        <v>2716</v>
      </c>
    </row>
    <row r="331" customFormat="false" ht="21.75" hidden="false" customHeight="true" outlineLevel="0" collapsed="false">
      <c r="B331" s="4" t="s">
        <v>143</v>
      </c>
      <c r="C331" s="4" t="s">
        <v>144</v>
      </c>
      <c r="D331" s="4" t="s">
        <v>2717</v>
      </c>
      <c r="E331" s="9" t="n">
        <v>3</v>
      </c>
      <c r="F331" s="4" t="s">
        <v>28</v>
      </c>
      <c r="G331" s="5" t="s">
        <v>2718</v>
      </c>
      <c r="H331" s="5" t="s">
        <v>2719</v>
      </c>
      <c r="I331" s="5" t="s">
        <v>2720</v>
      </c>
      <c r="J331" s="5" t="s">
        <v>2721</v>
      </c>
      <c r="K331" s="5" t="s">
        <v>2722</v>
      </c>
      <c r="L331" s="5" t="s">
        <v>335</v>
      </c>
      <c r="M331" s="5" t="s">
        <v>2723</v>
      </c>
      <c r="N331" s="5" t="s">
        <v>236</v>
      </c>
      <c r="O331" s="4" t="s">
        <v>2724</v>
      </c>
    </row>
    <row r="332" customFormat="false" ht="21.75" hidden="false" customHeight="true" outlineLevel="0" collapsed="false">
      <c r="B332" s="6" t="s">
        <v>143</v>
      </c>
      <c r="C332" s="6" t="s">
        <v>144</v>
      </c>
      <c r="D332" s="6" t="s">
        <v>2725</v>
      </c>
      <c r="E332" s="10" t="n">
        <v>3</v>
      </c>
      <c r="F332" s="6" t="s">
        <v>28</v>
      </c>
      <c r="G332" s="7" t="s">
        <v>2726</v>
      </c>
      <c r="H332" s="7" t="s">
        <v>2727</v>
      </c>
      <c r="I332" s="7" t="s">
        <v>2728</v>
      </c>
      <c r="J332" s="7" t="s">
        <v>2729</v>
      </c>
      <c r="K332" s="7"/>
      <c r="L332" s="7"/>
      <c r="M332" s="7" t="s">
        <v>2730</v>
      </c>
      <c r="N332" s="7" t="s">
        <v>236</v>
      </c>
      <c r="O332" s="6" t="s">
        <v>2731</v>
      </c>
    </row>
    <row r="333" customFormat="false" ht="21.75" hidden="false" customHeight="true" outlineLevel="0" collapsed="false">
      <c r="B333" s="4" t="s">
        <v>143</v>
      </c>
      <c r="C333" s="4" t="s">
        <v>144</v>
      </c>
      <c r="D333" s="4" t="s">
        <v>2732</v>
      </c>
      <c r="E333" s="9" t="n">
        <v>4</v>
      </c>
      <c r="F333" s="4" t="s">
        <v>30</v>
      </c>
      <c r="G333" s="5" t="s">
        <v>2733</v>
      </c>
      <c r="H333" s="5" t="s">
        <v>2734</v>
      </c>
      <c r="I333" s="5" t="s">
        <v>2735</v>
      </c>
      <c r="J333" s="5" t="s">
        <v>2736</v>
      </c>
      <c r="K333" s="5" t="s">
        <v>2737</v>
      </c>
      <c r="L333" s="5" t="s">
        <v>234</v>
      </c>
      <c r="M333" s="5" t="s">
        <v>2738</v>
      </c>
      <c r="N333" s="5" t="s">
        <v>236</v>
      </c>
      <c r="O333" s="4" t="s">
        <v>2739</v>
      </c>
    </row>
    <row r="334" customFormat="false" ht="21.75" hidden="false" customHeight="true" outlineLevel="0" collapsed="false">
      <c r="B334" s="6" t="s">
        <v>143</v>
      </c>
      <c r="C334" s="6" t="s">
        <v>144</v>
      </c>
      <c r="D334" s="6" t="s">
        <v>2740</v>
      </c>
      <c r="E334" s="10" t="n">
        <v>4</v>
      </c>
      <c r="F334" s="6" t="s">
        <v>30</v>
      </c>
      <c r="G334" s="7" t="s">
        <v>2741</v>
      </c>
      <c r="H334" s="7" t="s">
        <v>2742</v>
      </c>
      <c r="I334" s="7" t="s">
        <v>2743</v>
      </c>
      <c r="J334" s="7" t="s">
        <v>2744</v>
      </c>
      <c r="K334" s="7" t="s">
        <v>2745</v>
      </c>
      <c r="L334" s="7" t="s">
        <v>335</v>
      </c>
      <c r="M334" s="7" t="s">
        <v>2746</v>
      </c>
      <c r="N334" s="7" t="s">
        <v>236</v>
      </c>
      <c r="O334" s="6" t="s">
        <v>2747</v>
      </c>
    </row>
    <row r="335" customFormat="false" ht="21.75" hidden="false" customHeight="true" outlineLevel="0" collapsed="false">
      <c r="B335" s="4" t="s">
        <v>150</v>
      </c>
      <c r="C335" s="4" t="s">
        <v>144</v>
      </c>
      <c r="D335" s="4" t="s">
        <v>2748</v>
      </c>
      <c r="E335" s="9" t="n">
        <v>0</v>
      </c>
      <c r="F335" s="4" t="s">
        <v>22</v>
      </c>
      <c r="G335" s="5" t="s">
        <v>2749</v>
      </c>
      <c r="H335" s="5" t="s">
        <v>2750</v>
      </c>
      <c r="I335" s="5" t="s">
        <v>2751</v>
      </c>
      <c r="J335" s="5" t="s">
        <v>2752</v>
      </c>
      <c r="K335" s="5" t="s">
        <v>2753</v>
      </c>
      <c r="L335" s="5" t="s">
        <v>244</v>
      </c>
      <c r="M335" s="5" t="s">
        <v>2754</v>
      </c>
      <c r="N335" s="5" t="s">
        <v>236</v>
      </c>
      <c r="O335" s="4" t="s">
        <v>2755</v>
      </c>
    </row>
    <row r="336" customFormat="false" ht="21.75" hidden="false" customHeight="true" outlineLevel="0" collapsed="false">
      <c r="B336" s="6" t="s">
        <v>150</v>
      </c>
      <c r="C336" s="6" t="s">
        <v>144</v>
      </c>
      <c r="D336" s="6" t="s">
        <v>2756</v>
      </c>
      <c r="E336" s="10" t="n">
        <v>0</v>
      </c>
      <c r="F336" s="6" t="s">
        <v>22</v>
      </c>
      <c r="G336" s="7" t="s">
        <v>2757</v>
      </c>
      <c r="H336" s="7" t="s">
        <v>2758</v>
      </c>
      <c r="I336" s="7" t="s">
        <v>2759</v>
      </c>
      <c r="J336" s="7" t="s">
        <v>2760</v>
      </c>
      <c r="K336" s="7" t="s">
        <v>2761</v>
      </c>
      <c r="L336" s="7" t="s">
        <v>244</v>
      </c>
      <c r="M336" s="7" t="s">
        <v>2762</v>
      </c>
      <c r="N336" s="7" t="s">
        <v>236</v>
      </c>
      <c r="O336" s="6" t="s">
        <v>2763</v>
      </c>
    </row>
    <row r="337" customFormat="false" ht="21.75" hidden="false" customHeight="true" outlineLevel="0" collapsed="false">
      <c r="B337" s="4" t="s">
        <v>150</v>
      </c>
      <c r="C337" s="4" t="s">
        <v>144</v>
      </c>
      <c r="D337" s="4" t="s">
        <v>2764</v>
      </c>
      <c r="E337" s="9" t="n">
        <v>0</v>
      </c>
      <c r="F337" s="4" t="s">
        <v>22</v>
      </c>
      <c r="G337" s="5" t="s">
        <v>2765</v>
      </c>
      <c r="H337" s="5" t="s">
        <v>2766</v>
      </c>
      <c r="I337" s="5" t="s">
        <v>2767</v>
      </c>
      <c r="J337" s="5" t="s">
        <v>2768</v>
      </c>
      <c r="K337" s="5" t="s">
        <v>2769</v>
      </c>
      <c r="L337" s="5" t="s">
        <v>260</v>
      </c>
      <c r="M337" s="5" t="s">
        <v>2770</v>
      </c>
      <c r="N337" s="5" t="s">
        <v>236</v>
      </c>
      <c r="O337" s="4" t="s">
        <v>2771</v>
      </c>
    </row>
    <row r="338" customFormat="false" ht="21.75" hidden="false" customHeight="true" outlineLevel="0" collapsed="false">
      <c r="B338" s="6" t="s">
        <v>150</v>
      </c>
      <c r="C338" s="6" t="s">
        <v>144</v>
      </c>
      <c r="D338" s="6" t="s">
        <v>2772</v>
      </c>
      <c r="E338" s="10" t="n">
        <v>1</v>
      </c>
      <c r="F338" s="6" t="s">
        <v>24</v>
      </c>
      <c r="G338" s="7" t="s">
        <v>2773</v>
      </c>
      <c r="H338" s="7" t="s">
        <v>2774</v>
      </c>
      <c r="I338" s="7" t="s">
        <v>2775</v>
      </c>
      <c r="J338" s="7" t="s">
        <v>2776</v>
      </c>
      <c r="K338" s="7" t="s">
        <v>2777</v>
      </c>
      <c r="L338" s="7" t="s">
        <v>260</v>
      </c>
      <c r="M338" s="7" t="s">
        <v>2778</v>
      </c>
      <c r="N338" s="7" t="s">
        <v>236</v>
      </c>
      <c r="O338" s="6" t="s">
        <v>2779</v>
      </c>
    </row>
    <row r="339" customFormat="false" ht="21.75" hidden="false" customHeight="true" outlineLevel="0" collapsed="false">
      <c r="B339" s="4" t="s">
        <v>150</v>
      </c>
      <c r="C339" s="4" t="s">
        <v>144</v>
      </c>
      <c r="D339" s="4" t="s">
        <v>2780</v>
      </c>
      <c r="E339" s="9" t="n">
        <v>1</v>
      </c>
      <c r="F339" s="4" t="s">
        <v>24</v>
      </c>
      <c r="G339" s="5" t="s">
        <v>2781</v>
      </c>
      <c r="H339" s="5" t="s">
        <v>2782</v>
      </c>
      <c r="I339" s="5" t="s">
        <v>2783</v>
      </c>
      <c r="J339" s="5" t="s">
        <v>2784</v>
      </c>
      <c r="K339" s="5" t="s">
        <v>2785</v>
      </c>
      <c r="L339" s="5" t="s">
        <v>234</v>
      </c>
      <c r="M339" s="5" t="s">
        <v>2786</v>
      </c>
      <c r="N339" s="5" t="s">
        <v>236</v>
      </c>
      <c r="O339" s="4" t="s">
        <v>2787</v>
      </c>
    </row>
    <row r="340" customFormat="false" ht="21.75" hidden="false" customHeight="true" outlineLevel="0" collapsed="false">
      <c r="B340" s="6" t="s">
        <v>150</v>
      </c>
      <c r="C340" s="6" t="s">
        <v>144</v>
      </c>
      <c r="D340" s="6" t="s">
        <v>2788</v>
      </c>
      <c r="E340" s="10" t="n">
        <v>1</v>
      </c>
      <c r="F340" s="6" t="s">
        <v>24</v>
      </c>
      <c r="G340" s="7" t="s">
        <v>2789</v>
      </c>
      <c r="H340" s="7" t="s">
        <v>2790</v>
      </c>
      <c r="I340" s="7" t="s">
        <v>2791</v>
      </c>
      <c r="J340" s="7" t="s">
        <v>2792</v>
      </c>
      <c r="K340" s="7" t="s">
        <v>2793</v>
      </c>
      <c r="L340" s="7" t="s">
        <v>244</v>
      </c>
      <c r="M340" s="7" t="s">
        <v>2794</v>
      </c>
      <c r="N340" s="7" t="s">
        <v>236</v>
      </c>
      <c r="O340" s="6" t="s">
        <v>2795</v>
      </c>
    </row>
    <row r="341" customFormat="false" ht="21.75" hidden="false" customHeight="true" outlineLevel="0" collapsed="false">
      <c r="B341" s="4" t="s">
        <v>150</v>
      </c>
      <c r="C341" s="4" t="s">
        <v>144</v>
      </c>
      <c r="D341" s="4" t="s">
        <v>2796</v>
      </c>
      <c r="E341" s="9" t="n">
        <v>1</v>
      </c>
      <c r="F341" s="4" t="s">
        <v>24</v>
      </c>
      <c r="G341" s="5" t="s">
        <v>2797</v>
      </c>
      <c r="H341" s="5" t="s">
        <v>2798</v>
      </c>
      <c r="I341" s="5" t="s">
        <v>2799</v>
      </c>
      <c r="J341" s="5" t="s">
        <v>2800</v>
      </c>
      <c r="K341" s="5" t="s">
        <v>2801</v>
      </c>
      <c r="L341" s="5" t="s">
        <v>389</v>
      </c>
      <c r="M341" s="5" t="s">
        <v>2802</v>
      </c>
      <c r="N341" s="5" t="s">
        <v>236</v>
      </c>
      <c r="O341" s="4" t="s">
        <v>2803</v>
      </c>
    </row>
    <row r="342" customFormat="false" ht="21.75" hidden="false" customHeight="true" outlineLevel="0" collapsed="false">
      <c r="B342" s="6" t="s">
        <v>150</v>
      </c>
      <c r="C342" s="6" t="s">
        <v>144</v>
      </c>
      <c r="D342" s="6" t="s">
        <v>2804</v>
      </c>
      <c r="E342" s="10" t="n">
        <v>1</v>
      </c>
      <c r="F342" s="6" t="s">
        <v>24</v>
      </c>
      <c r="G342" s="7" t="s">
        <v>2805</v>
      </c>
      <c r="H342" s="7" t="s">
        <v>2806</v>
      </c>
      <c r="I342" s="7" t="s">
        <v>2807</v>
      </c>
      <c r="J342" s="7" t="s">
        <v>2808</v>
      </c>
      <c r="K342" s="7" t="s">
        <v>2809</v>
      </c>
      <c r="L342" s="7" t="s">
        <v>260</v>
      </c>
      <c r="M342" s="7" t="s">
        <v>2810</v>
      </c>
      <c r="N342" s="7" t="s">
        <v>236</v>
      </c>
      <c r="O342" s="6" t="s">
        <v>2811</v>
      </c>
    </row>
    <row r="343" customFormat="false" ht="21.75" hidden="false" customHeight="true" outlineLevel="0" collapsed="false">
      <c r="B343" s="4" t="s">
        <v>150</v>
      </c>
      <c r="C343" s="4" t="s">
        <v>144</v>
      </c>
      <c r="D343" s="4" t="s">
        <v>2812</v>
      </c>
      <c r="E343" s="9" t="n">
        <v>2</v>
      </c>
      <c r="F343" s="4" t="s">
        <v>26</v>
      </c>
      <c r="G343" s="5" t="s">
        <v>2813</v>
      </c>
      <c r="H343" s="5" t="s">
        <v>2814</v>
      </c>
      <c r="I343" s="5" t="s">
        <v>2815</v>
      </c>
      <c r="J343" s="5" t="s">
        <v>2816</v>
      </c>
      <c r="K343" s="5" t="s">
        <v>2817</v>
      </c>
      <c r="L343" s="5" t="s">
        <v>469</v>
      </c>
      <c r="M343" s="5" t="s">
        <v>2818</v>
      </c>
      <c r="N343" s="5" t="s">
        <v>236</v>
      </c>
      <c r="O343" s="4" t="s">
        <v>2819</v>
      </c>
    </row>
    <row r="344" customFormat="false" ht="21.75" hidden="false" customHeight="true" outlineLevel="0" collapsed="false">
      <c r="B344" s="6" t="s">
        <v>150</v>
      </c>
      <c r="C344" s="6" t="s">
        <v>144</v>
      </c>
      <c r="D344" s="6" t="s">
        <v>2820</v>
      </c>
      <c r="E344" s="10" t="n">
        <v>2</v>
      </c>
      <c r="F344" s="6" t="s">
        <v>26</v>
      </c>
      <c r="G344" s="7" t="s">
        <v>2821</v>
      </c>
      <c r="H344" s="7" t="s">
        <v>2822</v>
      </c>
      <c r="I344" s="7" t="s">
        <v>2823</v>
      </c>
      <c r="J344" s="7" t="s">
        <v>2824</v>
      </c>
      <c r="K344" s="7" t="s">
        <v>2825</v>
      </c>
      <c r="L344" s="7" t="s">
        <v>389</v>
      </c>
      <c r="M344" s="7" t="s">
        <v>2826</v>
      </c>
      <c r="N344" s="7" t="s">
        <v>236</v>
      </c>
      <c r="O344" s="6" t="s">
        <v>2827</v>
      </c>
    </row>
    <row r="345" customFormat="false" ht="21.75" hidden="false" customHeight="true" outlineLevel="0" collapsed="false">
      <c r="B345" s="4" t="s">
        <v>150</v>
      </c>
      <c r="C345" s="4" t="s">
        <v>144</v>
      </c>
      <c r="D345" s="4" t="s">
        <v>2828</v>
      </c>
      <c r="E345" s="9" t="n">
        <v>2</v>
      </c>
      <c r="F345" s="4" t="s">
        <v>26</v>
      </c>
      <c r="G345" s="5" t="s">
        <v>2829</v>
      </c>
      <c r="H345" s="5" t="s">
        <v>2830</v>
      </c>
      <c r="I345" s="5" t="s">
        <v>2831</v>
      </c>
      <c r="J345" s="5" t="s">
        <v>2832</v>
      </c>
      <c r="K345" s="5" t="s">
        <v>2833</v>
      </c>
      <c r="L345" s="5" t="s">
        <v>389</v>
      </c>
      <c r="M345" s="5" t="s">
        <v>2834</v>
      </c>
      <c r="N345" s="5" t="s">
        <v>236</v>
      </c>
      <c r="O345" s="4" t="s">
        <v>2835</v>
      </c>
    </row>
    <row r="346" customFormat="false" ht="21.75" hidden="false" customHeight="true" outlineLevel="0" collapsed="false">
      <c r="B346" s="6" t="s">
        <v>150</v>
      </c>
      <c r="C346" s="6" t="s">
        <v>144</v>
      </c>
      <c r="D346" s="6" t="s">
        <v>2836</v>
      </c>
      <c r="E346" s="10" t="n">
        <v>3</v>
      </c>
      <c r="F346" s="6" t="s">
        <v>28</v>
      </c>
      <c r="G346" s="7" t="s">
        <v>2837</v>
      </c>
      <c r="H346" s="7" t="s">
        <v>2838</v>
      </c>
      <c r="I346" s="7" t="s">
        <v>2839</v>
      </c>
      <c r="J346" s="7" t="s">
        <v>2840</v>
      </c>
      <c r="K346" s="7" t="s">
        <v>2841</v>
      </c>
      <c r="L346" s="7" t="s">
        <v>291</v>
      </c>
      <c r="M346" s="7" t="s">
        <v>2842</v>
      </c>
      <c r="N346" s="7" t="s">
        <v>236</v>
      </c>
      <c r="O346" s="6" t="s">
        <v>2843</v>
      </c>
    </row>
    <row r="347" customFormat="false" ht="21.75" hidden="false" customHeight="true" outlineLevel="0" collapsed="false">
      <c r="B347" s="4" t="s">
        <v>150</v>
      </c>
      <c r="C347" s="4" t="s">
        <v>144</v>
      </c>
      <c r="D347" s="4" t="s">
        <v>2844</v>
      </c>
      <c r="E347" s="9" t="n">
        <v>3</v>
      </c>
      <c r="F347" s="4" t="s">
        <v>28</v>
      </c>
      <c r="G347" s="5" t="s">
        <v>2845</v>
      </c>
      <c r="H347" s="5" t="s">
        <v>2846</v>
      </c>
      <c r="I347" s="5" t="s">
        <v>2847</v>
      </c>
      <c r="J347" s="5" t="s">
        <v>2848</v>
      </c>
      <c r="K347" s="5" t="s">
        <v>2849</v>
      </c>
      <c r="L347" s="5" t="s">
        <v>389</v>
      </c>
      <c r="M347" s="5" t="s">
        <v>2850</v>
      </c>
      <c r="N347" s="5" t="s">
        <v>236</v>
      </c>
      <c r="O347" s="4" t="s">
        <v>2851</v>
      </c>
    </row>
    <row r="348" customFormat="false" ht="21.75" hidden="false" customHeight="true" outlineLevel="0" collapsed="false">
      <c r="B348" s="6" t="s">
        <v>150</v>
      </c>
      <c r="C348" s="6" t="s">
        <v>144</v>
      </c>
      <c r="D348" s="6" t="s">
        <v>2852</v>
      </c>
      <c r="E348" s="10" t="n">
        <v>4</v>
      </c>
      <c r="F348" s="6" t="s">
        <v>30</v>
      </c>
      <c r="G348" s="7" t="s">
        <v>2853</v>
      </c>
      <c r="H348" s="7" t="s">
        <v>2854</v>
      </c>
      <c r="I348" s="7" t="s">
        <v>2855</v>
      </c>
      <c r="J348" s="7" t="s">
        <v>2856</v>
      </c>
      <c r="K348" s="7" t="s">
        <v>2857</v>
      </c>
      <c r="L348" s="7" t="s">
        <v>335</v>
      </c>
      <c r="M348" s="7" t="s">
        <v>2858</v>
      </c>
      <c r="N348" s="7" t="s">
        <v>236</v>
      </c>
      <c r="O348" s="6" t="s">
        <v>2859</v>
      </c>
    </row>
    <row r="349" customFormat="false" ht="21.75" hidden="false" customHeight="true" outlineLevel="0" collapsed="false">
      <c r="B349" s="4" t="s">
        <v>150</v>
      </c>
      <c r="C349" s="4" t="s">
        <v>144</v>
      </c>
      <c r="D349" s="4" t="s">
        <v>2860</v>
      </c>
      <c r="E349" s="9" t="n">
        <v>4</v>
      </c>
      <c r="F349" s="4" t="s">
        <v>30</v>
      </c>
      <c r="G349" s="5" t="s">
        <v>2861</v>
      </c>
      <c r="H349" s="5" t="s">
        <v>2862</v>
      </c>
      <c r="I349" s="5" t="s">
        <v>2863</v>
      </c>
      <c r="J349" s="5" t="s">
        <v>2864</v>
      </c>
      <c r="K349" s="5" t="s">
        <v>2865</v>
      </c>
      <c r="L349" s="5" t="s">
        <v>335</v>
      </c>
      <c r="M349" s="5" t="s">
        <v>2866</v>
      </c>
      <c r="N349" s="5" t="s">
        <v>236</v>
      </c>
      <c r="O349" s="4" t="s">
        <v>2867</v>
      </c>
    </row>
    <row r="350" customFormat="false" ht="21.75" hidden="false" customHeight="true" outlineLevel="0" collapsed="false">
      <c r="B350" s="6" t="s">
        <v>156</v>
      </c>
      <c r="C350" s="6" t="s">
        <v>144</v>
      </c>
      <c r="D350" s="6" t="s">
        <v>2868</v>
      </c>
      <c r="E350" s="10" t="n">
        <v>0</v>
      </c>
      <c r="F350" s="6" t="s">
        <v>22</v>
      </c>
      <c r="G350" s="7" t="s">
        <v>2869</v>
      </c>
      <c r="H350" s="7" t="s">
        <v>2870</v>
      </c>
      <c r="I350" s="7" t="s">
        <v>2871</v>
      </c>
      <c r="J350" s="7" t="s">
        <v>2872</v>
      </c>
      <c r="K350" s="7" t="s">
        <v>2873</v>
      </c>
      <c r="L350" s="7" t="s">
        <v>244</v>
      </c>
      <c r="M350" s="7" t="s">
        <v>2874</v>
      </c>
      <c r="N350" s="7" t="s">
        <v>236</v>
      </c>
      <c r="O350" s="6" t="s">
        <v>2875</v>
      </c>
    </row>
    <row r="351" customFormat="false" ht="21.75" hidden="false" customHeight="true" outlineLevel="0" collapsed="false">
      <c r="B351" s="4" t="s">
        <v>156</v>
      </c>
      <c r="C351" s="4" t="s">
        <v>144</v>
      </c>
      <c r="D351" s="4" t="s">
        <v>2876</v>
      </c>
      <c r="E351" s="9" t="n">
        <v>0</v>
      </c>
      <c r="F351" s="4" t="s">
        <v>22</v>
      </c>
      <c r="G351" s="5" t="s">
        <v>2877</v>
      </c>
      <c r="H351" s="5" t="s">
        <v>2878</v>
      </c>
      <c r="I351" s="5" t="s">
        <v>2879</v>
      </c>
      <c r="J351" s="5" t="s">
        <v>2880</v>
      </c>
      <c r="K351" s="5" t="s">
        <v>2881</v>
      </c>
      <c r="L351" s="5" t="s">
        <v>244</v>
      </c>
      <c r="M351" s="5" t="s">
        <v>2882</v>
      </c>
      <c r="N351" s="5" t="s">
        <v>236</v>
      </c>
      <c r="O351" s="4" t="s">
        <v>2883</v>
      </c>
    </row>
    <row r="352" customFormat="false" ht="21.75" hidden="false" customHeight="true" outlineLevel="0" collapsed="false">
      <c r="B352" s="6" t="s">
        <v>156</v>
      </c>
      <c r="C352" s="6" t="s">
        <v>144</v>
      </c>
      <c r="D352" s="6" t="s">
        <v>2884</v>
      </c>
      <c r="E352" s="10" t="n">
        <v>1</v>
      </c>
      <c r="F352" s="6" t="s">
        <v>24</v>
      </c>
      <c r="G352" s="7" t="s">
        <v>2885</v>
      </c>
      <c r="H352" s="7" t="s">
        <v>2886</v>
      </c>
      <c r="I352" s="7" t="s">
        <v>2887</v>
      </c>
      <c r="J352" s="7" t="s">
        <v>2888</v>
      </c>
      <c r="K352" s="7"/>
      <c r="L352" s="7"/>
      <c r="M352" s="7" t="s">
        <v>2889</v>
      </c>
      <c r="N352" s="7" t="s">
        <v>236</v>
      </c>
      <c r="O352" s="6" t="s">
        <v>2890</v>
      </c>
    </row>
    <row r="353" customFormat="false" ht="21.75" hidden="false" customHeight="true" outlineLevel="0" collapsed="false">
      <c r="B353" s="4" t="s">
        <v>156</v>
      </c>
      <c r="C353" s="4" t="s">
        <v>144</v>
      </c>
      <c r="D353" s="4" t="s">
        <v>2891</v>
      </c>
      <c r="E353" s="9" t="n">
        <v>1</v>
      </c>
      <c r="F353" s="4" t="s">
        <v>24</v>
      </c>
      <c r="G353" s="5" t="s">
        <v>2892</v>
      </c>
      <c r="H353" s="5" t="s">
        <v>2893</v>
      </c>
      <c r="I353" s="5" t="s">
        <v>2894</v>
      </c>
      <c r="J353" s="5" t="s">
        <v>2895</v>
      </c>
      <c r="K353" s="5" t="s">
        <v>2896</v>
      </c>
      <c r="L353" s="5" t="s">
        <v>469</v>
      </c>
      <c r="M353" s="5" t="s">
        <v>2897</v>
      </c>
      <c r="N353" s="5" t="s">
        <v>236</v>
      </c>
      <c r="O353" s="4" t="s">
        <v>2898</v>
      </c>
    </row>
    <row r="354" customFormat="false" ht="21.75" hidden="false" customHeight="true" outlineLevel="0" collapsed="false">
      <c r="B354" s="6" t="s">
        <v>156</v>
      </c>
      <c r="C354" s="6" t="s">
        <v>144</v>
      </c>
      <c r="D354" s="6" t="s">
        <v>2899</v>
      </c>
      <c r="E354" s="10" t="n">
        <v>1</v>
      </c>
      <c r="F354" s="6" t="s">
        <v>24</v>
      </c>
      <c r="G354" s="7" t="s">
        <v>2900</v>
      </c>
      <c r="H354" s="7" t="s">
        <v>2901</v>
      </c>
      <c r="I354" s="7" t="s">
        <v>2902</v>
      </c>
      <c r="J354" s="7" t="s">
        <v>2903</v>
      </c>
      <c r="K354" s="7"/>
      <c r="L354" s="7"/>
      <c r="M354" s="7" t="s">
        <v>2904</v>
      </c>
      <c r="N354" s="7" t="s">
        <v>236</v>
      </c>
      <c r="O354" s="6" t="s">
        <v>2905</v>
      </c>
    </row>
    <row r="355" customFormat="false" ht="21.75" hidden="false" customHeight="true" outlineLevel="0" collapsed="false">
      <c r="B355" s="4" t="s">
        <v>156</v>
      </c>
      <c r="C355" s="4" t="s">
        <v>144</v>
      </c>
      <c r="D355" s="4" t="s">
        <v>2906</v>
      </c>
      <c r="E355" s="9" t="n">
        <v>1</v>
      </c>
      <c r="F355" s="4" t="s">
        <v>24</v>
      </c>
      <c r="G355" s="5" t="s">
        <v>2907</v>
      </c>
      <c r="H355" s="5" t="s">
        <v>2908</v>
      </c>
      <c r="I355" s="5" t="s">
        <v>2909</v>
      </c>
      <c r="J355" s="5" t="s">
        <v>2910</v>
      </c>
      <c r="K355" s="5" t="s">
        <v>2911</v>
      </c>
      <c r="L355" s="5" t="s">
        <v>389</v>
      </c>
      <c r="M355" s="5" t="s">
        <v>2912</v>
      </c>
      <c r="N355" s="5" t="s">
        <v>236</v>
      </c>
      <c r="O355" s="4" t="s">
        <v>2913</v>
      </c>
    </row>
    <row r="356" customFormat="false" ht="21.75" hidden="false" customHeight="true" outlineLevel="0" collapsed="false">
      <c r="B356" s="6" t="s">
        <v>156</v>
      </c>
      <c r="C356" s="6" t="s">
        <v>144</v>
      </c>
      <c r="D356" s="6" t="s">
        <v>2914</v>
      </c>
      <c r="E356" s="10" t="n">
        <v>1</v>
      </c>
      <c r="F356" s="6" t="s">
        <v>24</v>
      </c>
      <c r="G356" s="7" t="s">
        <v>2915</v>
      </c>
      <c r="H356" s="7" t="s">
        <v>2916</v>
      </c>
      <c r="I356" s="7" t="s">
        <v>2917</v>
      </c>
      <c r="J356" s="7" t="s">
        <v>2918</v>
      </c>
      <c r="K356" s="7" t="s">
        <v>2919</v>
      </c>
      <c r="L356" s="7" t="s">
        <v>234</v>
      </c>
      <c r="M356" s="7" t="s">
        <v>2920</v>
      </c>
      <c r="N356" s="7" t="s">
        <v>236</v>
      </c>
      <c r="O356" s="6" t="s">
        <v>2921</v>
      </c>
    </row>
    <row r="357" customFormat="false" ht="21.75" hidden="false" customHeight="true" outlineLevel="0" collapsed="false">
      <c r="B357" s="4" t="s">
        <v>156</v>
      </c>
      <c r="C357" s="4" t="s">
        <v>144</v>
      </c>
      <c r="D357" s="4" t="s">
        <v>2922</v>
      </c>
      <c r="E357" s="9" t="n">
        <v>1</v>
      </c>
      <c r="F357" s="4" t="s">
        <v>24</v>
      </c>
      <c r="G357" s="5" t="s">
        <v>2923</v>
      </c>
      <c r="H357" s="5" t="s">
        <v>2924</v>
      </c>
      <c r="I357" s="5" t="s">
        <v>2925</v>
      </c>
      <c r="J357" s="5" t="s">
        <v>2926</v>
      </c>
      <c r="K357" s="5" t="s">
        <v>2927</v>
      </c>
      <c r="L357" s="5" t="s">
        <v>260</v>
      </c>
      <c r="M357" s="5" t="s">
        <v>2928</v>
      </c>
      <c r="N357" s="5" t="s">
        <v>236</v>
      </c>
      <c r="O357" s="4" t="s">
        <v>2929</v>
      </c>
    </row>
    <row r="358" customFormat="false" ht="21.75" hidden="false" customHeight="true" outlineLevel="0" collapsed="false">
      <c r="B358" s="6" t="s">
        <v>156</v>
      </c>
      <c r="C358" s="6" t="s">
        <v>144</v>
      </c>
      <c r="D358" s="6" t="s">
        <v>2930</v>
      </c>
      <c r="E358" s="10" t="n">
        <v>1</v>
      </c>
      <c r="F358" s="6" t="s">
        <v>24</v>
      </c>
      <c r="G358" s="7" t="s">
        <v>2931</v>
      </c>
      <c r="H358" s="7" t="s">
        <v>2932</v>
      </c>
      <c r="I358" s="7" t="s">
        <v>2933</v>
      </c>
      <c r="J358" s="7" t="s">
        <v>2934</v>
      </c>
      <c r="K358" s="7" t="s">
        <v>2935</v>
      </c>
      <c r="L358" s="7" t="s">
        <v>260</v>
      </c>
      <c r="M358" s="7" t="s">
        <v>2936</v>
      </c>
      <c r="N358" s="7" t="s">
        <v>236</v>
      </c>
      <c r="O358" s="6" t="s">
        <v>2937</v>
      </c>
    </row>
    <row r="359" customFormat="false" ht="21.75" hidden="false" customHeight="true" outlineLevel="0" collapsed="false">
      <c r="B359" s="4" t="s">
        <v>156</v>
      </c>
      <c r="C359" s="4" t="s">
        <v>144</v>
      </c>
      <c r="D359" s="4" t="s">
        <v>2938</v>
      </c>
      <c r="E359" s="9" t="n">
        <v>1</v>
      </c>
      <c r="F359" s="4" t="s">
        <v>24</v>
      </c>
      <c r="G359" s="5" t="s">
        <v>2939</v>
      </c>
      <c r="H359" s="5" t="s">
        <v>2940</v>
      </c>
      <c r="I359" s="5" t="s">
        <v>2941</v>
      </c>
      <c r="J359" s="5" t="s">
        <v>2942</v>
      </c>
      <c r="K359" s="5" t="s">
        <v>2943</v>
      </c>
      <c r="L359" s="5" t="s">
        <v>234</v>
      </c>
      <c r="M359" s="5" t="s">
        <v>2944</v>
      </c>
      <c r="N359" s="5" t="s">
        <v>236</v>
      </c>
      <c r="O359" s="4" t="s">
        <v>2945</v>
      </c>
    </row>
    <row r="360" customFormat="false" ht="21.75" hidden="false" customHeight="true" outlineLevel="0" collapsed="false">
      <c r="B360" s="6" t="s">
        <v>156</v>
      </c>
      <c r="C360" s="6" t="s">
        <v>144</v>
      </c>
      <c r="D360" s="6" t="s">
        <v>2946</v>
      </c>
      <c r="E360" s="10" t="n">
        <v>3</v>
      </c>
      <c r="F360" s="6" t="s">
        <v>28</v>
      </c>
      <c r="G360" s="7" t="s">
        <v>2947</v>
      </c>
      <c r="H360" s="7" t="s">
        <v>2948</v>
      </c>
      <c r="I360" s="7" t="s">
        <v>2949</v>
      </c>
      <c r="J360" s="7" t="s">
        <v>2950</v>
      </c>
      <c r="K360" s="7" t="s">
        <v>2951</v>
      </c>
      <c r="L360" s="7" t="s">
        <v>244</v>
      </c>
      <c r="M360" s="7" t="s">
        <v>2952</v>
      </c>
      <c r="N360" s="7" t="s">
        <v>236</v>
      </c>
      <c r="O360" s="6" t="s">
        <v>2953</v>
      </c>
    </row>
    <row r="361" customFormat="false" ht="21.75" hidden="false" customHeight="true" outlineLevel="0" collapsed="false">
      <c r="B361" s="4" t="s">
        <v>156</v>
      </c>
      <c r="C361" s="4" t="s">
        <v>144</v>
      </c>
      <c r="D361" s="4" t="s">
        <v>2954</v>
      </c>
      <c r="E361" s="9" t="n">
        <v>4</v>
      </c>
      <c r="F361" s="4" t="s">
        <v>30</v>
      </c>
      <c r="G361" s="5" t="s">
        <v>2955</v>
      </c>
      <c r="H361" s="5" t="s">
        <v>2956</v>
      </c>
      <c r="I361" s="5" t="s">
        <v>2957</v>
      </c>
      <c r="J361" s="5" t="s">
        <v>2958</v>
      </c>
      <c r="K361" s="5" t="s">
        <v>2959</v>
      </c>
      <c r="L361" s="5" t="s">
        <v>335</v>
      </c>
      <c r="M361" s="5" t="s">
        <v>2960</v>
      </c>
      <c r="N361" s="5" t="s">
        <v>236</v>
      </c>
      <c r="O361" s="4" t="s">
        <v>2961</v>
      </c>
    </row>
    <row r="362" customFormat="false" ht="21.75" hidden="false" customHeight="true" outlineLevel="0" collapsed="false">
      <c r="B362" s="6" t="s">
        <v>156</v>
      </c>
      <c r="C362" s="6" t="s">
        <v>144</v>
      </c>
      <c r="D362" s="6" t="s">
        <v>2962</v>
      </c>
      <c r="E362" s="10" t="n">
        <v>4</v>
      </c>
      <c r="F362" s="6" t="s">
        <v>30</v>
      </c>
      <c r="G362" s="7" t="s">
        <v>2963</v>
      </c>
      <c r="H362" s="7" t="s">
        <v>2964</v>
      </c>
      <c r="I362" s="7" t="s">
        <v>2965</v>
      </c>
      <c r="J362" s="7" t="s">
        <v>2966</v>
      </c>
      <c r="K362" s="7" t="s">
        <v>2967</v>
      </c>
      <c r="L362" s="7" t="s">
        <v>260</v>
      </c>
      <c r="M362" s="7" t="s">
        <v>2968</v>
      </c>
      <c r="N362" s="7" t="s">
        <v>236</v>
      </c>
      <c r="O362" s="6" t="s">
        <v>2969</v>
      </c>
    </row>
    <row r="363" customFormat="false" ht="21.75" hidden="false" customHeight="true" outlineLevel="0" collapsed="false">
      <c r="B363" s="4" t="s">
        <v>156</v>
      </c>
      <c r="C363" s="4" t="s">
        <v>144</v>
      </c>
      <c r="D363" s="4" t="s">
        <v>2970</v>
      </c>
      <c r="E363" s="9" t="n">
        <v>4</v>
      </c>
      <c r="F363" s="4" t="s">
        <v>30</v>
      </c>
      <c r="G363" s="5" t="s">
        <v>2971</v>
      </c>
      <c r="H363" s="5" t="s">
        <v>2972</v>
      </c>
      <c r="I363" s="5" t="s">
        <v>2973</v>
      </c>
      <c r="J363" s="5" t="s">
        <v>2974</v>
      </c>
      <c r="K363" s="5" t="s">
        <v>2975</v>
      </c>
      <c r="L363" s="5" t="s">
        <v>234</v>
      </c>
      <c r="M363" s="5" t="s">
        <v>2976</v>
      </c>
      <c r="N363" s="5" t="s">
        <v>236</v>
      </c>
      <c r="O363" s="4" t="s">
        <v>2977</v>
      </c>
    </row>
    <row r="364" customFormat="false" ht="21.75" hidden="false" customHeight="true" outlineLevel="0" collapsed="false">
      <c r="B364" s="6" t="s">
        <v>162</v>
      </c>
      <c r="C364" s="6" t="s">
        <v>144</v>
      </c>
      <c r="D364" s="6" t="s">
        <v>2978</v>
      </c>
      <c r="E364" s="10" t="n">
        <v>0</v>
      </c>
      <c r="F364" s="6" t="s">
        <v>22</v>
      </c>
      <c r="G364" s="7" t="s">
        <v>2979</v>
      </c>
      <c r="H364" s="7" t="s">
        <v>2980</v>
      </c>
      <c r="I364" s="7" t="s">
        <v>2981</v>
      </c>
      <c r="J364" s="7" t="s">
        <v>2982</v>
      </c>
      <c r="K364" s="7" t="s">
        <v>2983</v>
      </c>
      <c r="L364" s="7" t="s">
        <v>260</v>
      </c>
      <c r="M364" s="7" t="s">
        <v>2984</v>
      </c>
      <c r="N364" s="7" t="s">
        <v>236</v>
      </c>
      <c r="O364" s="6" t="s">
        <v>2985</v>
      </c>
    </row>
    <row r="365" customFormat="false" ht="21.75" hidden="false" customHeight="true" outlineLevel="0" collapsed="false">
      <c r="B365" s="4" t="s">
        <v>162</v>
      </c>
      <c r="C365" s="4" t="s">
        <v>144</v>
      </c>
      <c r="D365" s="4" t="s">
        <v>2986</v>
      </c>
      <c r="E365" s="9" t="n">
        <v>1</v>
      </c>
      <c r="F365" s="4" t="s">
        <v>24</v>
      </c>
      <c r="G365" s="5" t="s">
        <v>2987</v>
      </c>
      <c r="H365" s="5" t="s">
        <v>2988</v>
      </c>
      <c r="I365" s="5" t="s">
        <v>2989</v>
      </c>
      <c r="J365" s="5" t="s">
        <v>2990</v>
      </c>
      <c r="K365" s="5" t="s">
        <v>2991</v>
      </c>
      <c r="L365" s="5" t="s">
        <v>234</v>
      </c>
      <c r="M365" s="5" t="s">
        <v>2992</v>
      </c>
      <c r="N365" s="5" t="s">
        <v>236</v>
      </c>
      <c r="O365" s="4" t="s">
        <v>2993</v>
      </c>
    </row>
    <row r="366" customFormat="false" ht="21.75" hidden="false" customHeight="true" outlineLevel="0" collapsed="false">
      <c r="B366" s="6" t="s">
        <v>162</v>
      </c>
      <c r="C366" s="6" t="s">
        <v>144</v>
      </c>
      <c r="D366" s="6" t="s">
        <v>2994</v>
      </c>
      <c r="E366" s="10" t="n">
        <v>1</v>
      </c>
      <c r="F366" s="6" t="s">
        <v>24</v>
      </c>
      <c r="G366" s="7" t="s">
        <v>2995</v>
      </c>
      <c r="H366" s="7" t="s">
        <v>2996</v>
      </c>
      <c r="I366" s="7" t="s">
        <v>2997</v>
      </c>
      <c r="J366" s="7" t="s">
        <v>2998</v>
      </c>
      <c r="K366" s="7"/>
      <c r="L366" s="7"/>
      <c r="M366" s="7" t="s">
        <v>2999</v>
      </c>
      <c r="N366" s="7" t="s">
        <v>236</v>
      </c>
      <c r="O366" s="6" t="s">
        <v>3000</v>
      </c>
    </row>
    <row r="367" customFormat="false" ht="21.75" hidden="false" customHeight="true" outlineLevel="0" collapsed="false">
      <c r="B367" s="4" t="s">
        <v>162</v>
      </c>
      <c r="C367" s="4" t="s">
        <v>144</v>
      </c>
      <c r="D367" s="4" t="s">
        <v>3001</v>
      </c>
      <c r="E367" s="9" t="n">
        <v>1</v>
      </c>
      <c r="F367" s="4" t="s">
        <v>24</v>
      </c>
      <c r="G367" s="5" t="s">
        <v>3002</v>
      </c>
      <c r="H367" s="5" t="s">
        <v>3003</v>
      </c>
      <c r="I367" s="5" t="s">
        <v>3004</v>
      </c>
      <c r="J367" s="5" t="s">
        <v>3005</v>
      </c>
      <c r="K367" s="5"/>
      <c r="L367" s="5"/>
      <c r="M367" s="5" t="s">
        <v>3006</v>
      </c>
      <c r="N367" s="5" t="s">
        <v>236</v>
      </c>
      <c r="O367" s="4" t="s">
        <v>3007</v>
      </c>
    </row>
    <row r="368" customFormat="false" ht="21.75" hidden="false" customHeight="true" outlineLevel="0" collapsed="false">
      <c r="B368" s="6" t="s">
        <v>162</v>
      </c>
      <c r="C368" s="6" t="s">
        <v>144</v>
      </c>
      <c r="D368" s="6" t="s">
        <v>3008</v>
      </c>
      <c r="E368" s="10" t="n">
        <v>1</v>
      </c>
      <c r="F368" s="6" t="s">
        <v>24</v>
      </c>
      <c r="G368" s="7" t="s">
        <v>3009</v>
      </c>
      <c r="H368" s="7" t="s">
        <v>3010</v>
      </c>
      <c r="I368" s="7" t="s">
        <v>3011</v>
      </c>
      <c r="J368" s="7" t="s">
        <v>3012</v>
      </c>
      <c r="K368" s="7" t="s">
        <v>3013</v>
      </c>
      <c r="L368" s="7" t="s">
        <v>234</v>
      </c>
      <c r="M368" s="7" t="s">
        <v>3014</v>
      </c>
      <c r="N368" s="7" t="s">
        <v>236</v>
      </c>
      <c r="O368" s="6" t="s">
        <v>3015</v>
      </c>
    </row>
    <row r="369" customFormat="false" ht="21.75" hidden="false" customHeight="true" outlineLevel="0" collapsed="false">
      <c r="B369" s="4" t="s">
        <v>162</v>
      </c>
      <c r="C369" s="4" t="s">
        <v>144</v>
      </c>
      <c r="D369" s="4" t="s">
        <v>3016</v>
      </c>
      <c r="E369" s="9" t="n">
        <v>2</v>
      </c>
      <c r="F369" s="4" t="s">
        <v>26</v>
      </c>
      <c r="G369" s="5" t="s">
        <v>3017</v>
      </c>
      <c r="H369" s="5" t="s">
        <v>3018</v>
      </c>
      <c r="I369" s="5" t="s">
        <v>3019</v>
      </c>
      <c r="J369" s="5" t="s">
        <v>3020</v>
      </c>
      <c r="K369" s="5" t="s">
        <v>3021</v>
      </c>
      <c r="L369" s="5" t="s">
        <v>389</v>
      </c>
      <c r="M369" s="5" t="s">
        <v>3022</v>
      </c>
      <c r="N369" s="5" t="s">
        <v>236</v>
      </c>
      <c r="O369" s="4" t="s">
        <v>3023</v>
      </c>
    </row>
    <row r="370" customFormat="false" ht="21.75" hidden="false" customHeight="true" outlineLevel="0" collapsed="false">
      <c r="B370" s="6" t="s">
        <v>162</v>
      </c>
      <c r="C370" s="6" t="s">
        <v>144</v>
      </c>
      <c r="D370" s="6" t="s">
        <v>3024</v>
      </c>
      <c r="E370" s="10" t="n">
        <v>2</v>
      </c>
      <c r="F370" s="6" t="s">
        <v>26</v>
      </c>
      <c r="G370" s="7" t="s">
        <v>3025</v>
      </c>
      <c r="H370" s="7" t="s">
        <v>3026</v>
      </c>
      <c r="I370" s="7" t="s">
        <v>3027</v>
      </c>
      <c r="J370" s="7" t="s">
        <v>3028</v>
      </c>
      <c r="K370" s="7" t="s">
        <v>3029</v>
      </c>
      <c r="L370" s="7" t="s">
        <v>291</v>
      </c>
      <c r="M370" s="7" t="s">
        <v>3030</v>
      </c>
      <c r="N370" s="7" t="s">
        <v>236</v>
      </c>
      <c r="O370" s="6" t="s">
        <v>3031</v>
      </c>
    </row>
    <row r="371" customFormat="false" ht="21.75" hidden="false" customHeight="true" outlineLevel="0" collapsed="false">
      <c r="B371" s="4" t="s">
        <v>162</v>
      </c>
      <c r="C371" s="4" t="s">
        <v>144</v>
      </c>
      <c r="D371" s="4" t="s">
        <v>3032</v>
      </c>
      <c r="E371" s="9" t="n">
        <v>2</v>
      </c>
      <c r="F371" s="4" t="s">
        <v>26</v>
      </c>
      <c r="G371" s="5" t="s">
        <v>3033</v>
      </c>
      <c r="H371" s="5" t="s">
        <v>3034</v>
      </c>
      <c r="I371" s="5" t="s">
        <v>3035</v>
      </c>
      <c r="J371" s="5" t="s">
        <v>3036</v>
      </c>
      <c r="K371" s="5" t="s">
        <v>3037</v>
      </c>
      <c r="L371" s="5" t="s">
        <v>335</v>
      </c>
      <c r="M371" s="5" t="s">
        <v>3038</v>
      </c>
      <c r="N371" s="5" t="s">
        <v>236</v>
      </c>
      <c r="O371" s="4" t="s">
        <v>3039</v>
      </c>
    </row>
    <row r="372" customFormat="false" ht="21.75" hidden="false" customHeight="true" outlineLevel="0" collapsed="false">
      <c r="B372" s="6" t="s">
        <v>162</v>
      </c>
      <c r="C372" s="6" t="s">
        <v>144</v>
      </c>
      <c r="D372" s="6" t="s">
        <v>3040</v>
      </c>
      <c r="E372" s="10" t="n">
        <v>3</v>
      </c>
      <c r="F372" s="6" t="s">
        <v>28</v>
      </c>
      <c r="G372" s="7" t="s">
        <v>3041</v>
      </c>
      <c r="H372" s="7" t="s">
        <v>3042</v>
      </c>
      <c r="I372" s="7" t="s">
        <v>3043</v>
      </c>
      <c r="J372" s="7" t="s">
        <v>3044</v>
      </c>
      <c r="K372" s="7" t="s">
        <v>3045</v>
      </c>
      <c r="L372" s="7" t="s">
        <v>244</v>
      </c>
      <c r="M372" s="7" t="s">
        <v>3046</v>
      </c>
      <c r="N372" s="7" t="s">
        <v>236</v>
      </c>
      <c r="O372" s="6" t="s">
        <v>3047</v>
      </c>
    </row>
    <row r="373" customFormat="false" ht="21.75" hidden="false" customHeight="true" outlineLevel="0" collapsed="false">
      <c r="B373" s="4" t="s">
        <v>162</v>
      </c>
      <c r="C373" s="4" t="s">
        <v>144</v>
      </c>
      <c r="D373" s="4" t="s">
        <v>3048</v>
      </c>
      <c r="E373" s="9" t="n">
        <v>3</v>
      </c>
      <c r="F373" s="4" t="s">
        <v>28</v>
      </c>
      <c r="G373" s="5" t="s">
        <v>3049</v>
      </c>
      <c r="H373" s="5" t="s">
        <v>3050</v>
      </c>
      <c r="I373" s="5" t="s">
        <v>3051</v>
      </c>
      <c r="J373" s="5" t="s">
        <v>3052</v>
      </c>
      <c r="K373" s="5"/>
      <c r="L373" s="5"/>
      <c r="M373" s="5" t="s">
        <v>3053</v>
      </c>
      <c r="N373" s="5" t="s">
        <v>236</v>
      </c>
      <c r="O373" s="4" t="s">
        <v>3054</v>
      </c>
    </row>
    <row r="374" customFormat="false" ht="21.75" hidden="false" customHeight="true" outlineLevel="0" collapsed="false">
      <c r="B374" s="6" t="s">
        <v>162</v>
      </c>
      <c r="C374" s="6" t="s">
        <v>144</v>
      </c>
      <c r="D374" s="6" t="s">
        <v>3055</v>
      </c>
      <c r="E374" s="10" t="n">
        <v>4</v>
      </c>
      <c r="F374" s="6" t="s">
        <v>30</v>
      </c>
      <c r="G374" s="7" t="s">
        <v>3056</v>
      </c>
      <c r="H374" s="7" t="s">
        <v>3057</v>
      </c>
      <c r="I374" s="7" t="s">
        <v>3058</v>
      </c>
      <c r="J374" s="7" t="s">
        <v>3059</v>
      </c>
      <c r="K374" s="7" t="s">
        <v>3060</v>
      </c>
      <c r="L374" s="7" t="s">
        <v>389</v>
      </c>
      <c r="M374" s="7" t="s">
        <v>3061</v>
      </c>
      <c r="N374" s="7" t="s">
        <v>236</v>
      </c>
      <c r="O374" s="6" t="s">
        <v>3062</v>
      </c>
    </row>
    <row r="375" customFormat="false" ht="21.75" hidden="false" customHeight="true" outlineLevel="0" collapsed="false">
      <c r="B375" s="4" t="s">
        <v>162</v>
      </c>
      <c r="C375" s="4" t="s">
        <v>144</v>
      </c>
      <c r="D375" s="4" t="s">
        <v>3063</v>
      </c>
      <c r="E375" s="9" t="n">
        <v>4</v>
      </c>
      <c r="F375" s="4" t="s">
        <v>30</v>
      </c>
      <c r="G375" s="5" t="s">
        <v>3064</v>
      </c>
      <c r="H375" s="5" t="s">
        <v>3065</v>
      </c>
      <c r="I375" s="5" t="s">
        <v>3066</v>
      </c>
      <c r="J375" s="5" t="s">
        <v>3067</v>
      </c>
      <c r="K375" s="5" t="s">
        <v>3068</v>
      </c>
      <c r="L375" s="5" t="s">
        <v>335</v>
      </c>
      <c r="M375" s="5" t="s">
        <v>3069</v>
      </c>
      <c r="N375" s="5" t="s">
        <v>236</v>
      </c>
      <c r="O375" s="4" t="s">
        <v>3070</v>
      </c>
    </row>
    <row r="376" customFormat="false" ht="21.75" hidden="false" customHeight="true" outlineLevel="0" collapsed="false">
      <c r="B376" s="6" t="s">
        <v>168</v>
      </c>
      <c r="C376" s="6" t="s">
        <v>144</v>
      </c>
      <c r="D376" s="6" t="s">
        <v>3071</v>
      </c>
      <c r="E376" s="10" t="n">
        <v>0</v>
      </c>
      <c r="F376" s="6" t="s">
        <v>22</v>
      </c>
      <c r="G376" s="7" t="s">
        <v>3072</v>
      </c>
      <c r="H376" s="7" t="s">
        <v>3073</v>
      </c>
      <c r="I376" s="7" t="s">
        <v>3074</v>
      </c>
      <c r="J376" s="7" t="s">
        <v>3075</v>
      </c>
      <c r="K376" s="7" t="s">
        <v>3076</v>
      </c>
      <c r="L376" s="7" t="s">
        <v>244</v>
      </c>
      <c r="M376" s="7" t="s">
        <v>3077</v>
      </c>
      <c r="N376" s="7" t="s">
        <v>236</v>
      </c>
      <c r="O376" s="6" t="s">
        <v>3078</v>
      </c>
    </row>
    <row r="377" customFormat="false" ht="21.75" hidden="false" customHeight="true" outlineLevel="0" collapsed="false">
      <c r="B377" s="4" t="s">
        <v>168</v>
      </c>
      <c r="C377" s="4" t="s">
        <v>144</v>
      </c>
      <c r="D377" s="4" t="s">
        <v>3079</v>
      </c>
      <c r="E377" s="9" t="n">
        <v>0</v>
      </c>
      <c r="F377" s="4" t="s">
        <v>22</v>
      </c>
      <c r="G377" s="5" t="s">
        <v>3080</v>
      </c>
      <c r="H377" s="5" t="s">
        <v>3081</v>
      </c>
      <c r="I377" s="5" t="s">
        <v>3082</v>
      </c>
      <c r="J377" s="5" t="s">
        <v>3083</v>
      </c>
      <c r="K377" s="5"/>
      <c r="L377" s="5"/>
      <c r="M377" s="5" t="s">
        <v>3084</v>
      </c>
      <c r="N377" s="5" t="s">
        <v>236</v>
      </c>
      <c r="O377" s="4" t="s">
        <v>3085</v>
      </c>
    </row>
    <row r="378" customFormat="false" ht="21.75" hidden="false" customHeight="true" outlineLevel="0" collapsed="false">
      <c r="B378" s="6" t="s">
        <v>168</v>
      </c>
      <c r="C378" s="6" t="s">
        <v>144</v>
      </c>
      <c r="D378" s="6" t="s">
        <v>3086</v>
      </c>
      <c r="E378" s="10" t="n">
        <v>1</v>
      </c>
      <c r="F378" s="6" t="s">
        <v>24</v>
      </c>
      <c r="G378" s="7" t="s">
        <v>3087</v>
      </c>
      <c r="H378" s="7" t="s">
        <v>3088</v>
      </c>
      <c r="I378" s="7" t="s">
        <v>3089</v>
      </c>
      <c r="J378" s="7" t="s">
        <v>3090</v>
      </c>
      <c r="K378" s="7" t="s">
        <v>3091</v>
      </c>
      <c r="L378" s="7" t="s">
        <v>244</v>
      </c>
      <c r="M378" s="7" t="s">
        <v>3092</v>
      </c>
      <c r="N378" s="7" t="s">
        <v>236</v>
      </c>
      <c r="O378" s="6" t="s">
        <v>3093</v>
      </c>
    </row>
    <row r="379" customFormat="false" ht="21.75" hidden="false" customHeight="true" outlineLevel="0" collapsed="false">
      <c r="B379" s="4" t="s">
        <v>168</v>
      </c>
      <c r="C379" s="4" t="s">
        <v>144</v>
      </c>
      <c r="D379" s="4" t="s">
        <v>3094</v>
      </c>
      <c r="E379" s="9" t="n">
        <v>1</v>
      </c>
      <c r="F379" s="4" t="s">
        <v>24</v>
      </c>
      <c r="G379" s="5" t="s">
        <v>3095</v>
      </c>
      <c r="H379" s="5" t="s">
        <v>3096</v>
      </c>
      <c r="I379" s="5" t="s">
        <v>3097</v>
      </c>
      <c r="J379" s="5" t="s">
        <v>3098</v>
      </c>
      <c r="K379" s="5" t="s">
        <v>3099</v>
      </c>
      <c r="L379" s="5" t="s">
        <v>389</v>
      </c>
      <c r="M379" s="5" t="s">
        <v>3100</v>
      </c>
      <c r="N379" s="5" t="s">
        <v>236</v>
      </c>
      <c r="O379" s="4" t="s">
        <v>3101</v>
      </c>
    </row>
    <row r="380" customFormat="false" ht="21.75" hidden="false" customHeight="true" outlineLevel="0" collapsed="false">
      <c r="B380" s="6" t="s">
        <v>168</v>
      </c>
      <c r="C380" s="6" t="s">
        <v>144</v>
      </c>
      <c r="D380" s="6" t="s">
        <v>3102</v>
      </c>
      <c r="E380" s="10" t="n">
        <v>1</v>
      </c>
      <c r="F380" s="6" t="s">
        <v>24</v>
      </c>
      <c r="G380" s="7" t="s">
        <v>3103</v>
      </c>
      <c r="H380" s="7" t="s">
        <v>3104</v>
      </c>
      <c r="I380" s="7" t="s">
        <v>3105</v>
      </c>
      <c r="J380" s="7" t="s">
        <v>3106</v>
      </c>
      <c r="K380" s="7" t="s">
        <v>3107</v>
      </c>
      <c r="L380" s="7" t="s">
        <v>244</v>
      </c>
      <c r="M380" s="7" t="s">
        <v>3108</v>
      </c>
      <c r="N380" s="7" t="s">
        <v>236</v>
      </c>
      <c r="O380" s="6" t="s">
        <v>3109</v>
      </c>
    </row>
    <row r="381" customFormat="false" ht="21.75" hidden="false" customHeight="true" outlineLevel="0" collapsed="false">
      <c r="B381" s="4" t="s">
        <v>168</v>
      </c>
      <c r="C381" s="4" t="s">
        <v>144</v>
      </c>
      <c r="D381" s="4" t="s">
        <v>3110</v>
      </c>
      <c r="E381" s="9" t="n">
        <v>1</v>
      </c>
      <c r="F381" s="4" t="s">
        <v>24</v>
      </c>
      <c r="G381" s="5" t="s">
        <v>3111</v>
      </c>
      <c r="H381" s="5" t="s">
        <v>3112</v>
      </c>
      <c r="I381" s="5" t="s">
        <v>3113</v>
      </c>
      <c r="J381" s="5" t="s">
        <v>3114</v>
      </c>
      <c r="K381" s="5"/>
      <c r="L381" s="5"/>
      <c r="M381" s="5" t="s">
        <v>3115</v>
      </c>
      <c r="N381" s="5" t="s">
        <v>236</v>
      </c>
      <c r="O381" s="4" t="s">
        <v>3116</v>
      </c>
    </row>
    <row r="382" customFormat="false" ht="21.75" hidden="false" customHeight="true" outlineLevel="0" collapsed="false">
      <c r="B382" s="6" t="s">
        <v>168</v>
      </c>
      <c r="C382" s="6" t="s">
        <v>144</v>
      </c>
      <c r="D382" s="6" t="s">
        <v>3117</v>
      </c>
      <c r="E382" s="10" t="n">
        <v>1</v>
      </c>
      <c r="F382" s="6" t="s">
        <v>24</v>
      </c>
      <c r="G382" s="7" t="s">
        <v>3118</v>
      </c>
      <c r="H382" s="7" t="s">
        <v>3119</v>
      </c>
      <c r="I382" s="7" t="s">
        <v>3120</v>
      </c>
      <c r="J382" s="7" t="s">
        <v>3121</v>
      </c>
      <c r="K382" s="7"/>
      <c r="L382" s="7"/>
      <c r="M382" s="7" t="s">
        <v>3122</v>
      </c>
      <c r="N382" s="7" t="s">
        <v>236</v>
      </c>
      <c r="O382" s="6" t="s">
        <v>3123</v>
      </c>
    </row>
    <row r="383" customFormat="false" ht="21.75" hidden="false" customHeight="true" outlineLevel="0" collapsed="false">
      <c r="B383" s="4" t="s">
        <v>168</v>
      </c>
      <c r="C383" s="4" t="s">
        <v>144</v>
      </c>
      <c r="D383" s="4" t="s">
        <v>3124</v>
      </c>
      <c r="E383" s="9" t="n">
        <v>2</v>
      </c>
      <c r="F383" s="4" t="s">
        <v>26</v>
      </c>
      <c r="G383" s="5" t="s">
        <v>3125</v>
      </c>
      <c r="H383" s="5" t="s">
        <v>3126</v>
      </c>
      <c r="I383" s="5" t="s">
        <v>3127</v>
      </c>
      <c r="J383" s="5" t="s">
        <v>3128</v>
      </c>
      <c r="K383" s="5" t="s">
        <v>3129</v>
      </c>
      <c r="L383" s="5" t="s">
        <v>335</v>
      </c>
      <c r="M383" s="5" t="s">
        <v>3130</v>
      </c>
      <c r="N383" s="5" t="s">
        <v>236</v>
      </c>
      <c r="O383" s="4" t="s">
        <v>3131</v>
      </c>
    </row>
    <row r="384" customFormat="false" ht="21.75" hidden="false" customHeight="true" outlineLevel="0" collapsed="false">
      <c r="B384" s="6" t="s">
        <v>168</v>
      </c>
      <c r="C384" s="6" t="s">
        <v>144</v>
      </c>
      <c r="D384" s="6" t="s">
        <v>3132</v>
      </c>
      <c r="E384" s="10" t="n">
        <v>2</v>
      </c>
      <c r="F384" s="6" t="s">
        <v>26</v>
      </c>
      <c r="G384" s="7" t="s">
        <v>3133</v>
      </c>
      <c r="H384" s="7" t="s">
        <v>3134</v>
      </c>
      <c r="I384" s="7" t="s">
        <v>3135</v>
      </c>
      <c r="J384" s="7" t="s">
        <v>3136</v>
      </c>
      <c r="K384" s="7" t="s">
        <v>3137</v>
      </c>
      <c r="L384" s="7" t="s">
        <v>389</v>
      </c>
      <c r="M384" s="7" t="s">
        <v>3138</v>
      </c>
      <c r="N384" s="7" t="s">
        <v>236</v>
      </c>
      <c r="O384" s="6" t="s">
        <v>3139</v>
      </c>
    </row>
    <row r="385" customFormat="false" ht="21.75" hidden="false" customHeight="true" outlineLevel="0" collapsed="false">
      <c r="B385" s="4" t="s">
        <v>168</v>
      </c>
      <c r="C385" s="4" t="s">
        <v>144</v>
      </c>
      <c r="D385" s="4" t="s">
        <v>3140</v>
      </c>
      <c r="E385" s="9" t="n">
        <v>3</v>
      </c>
      <c r="F385" s="4" t="s">
        <v>28</v>
      </c>
      <c r="G385" s="5" t="s">
        <v>3141</v>
      </c>
      <c r="H385" s="5" t="s">
        <v>3142</v>
      </c>
      <c r="I385" s="5" t="s">
        <v>3143</v>
      </c>
      <c r="J385" s="5" t="s">
        <v>3144</v>
      </c>
      <c r="K385" s="5" t="s">
        <v>3145</v>
      </c>
      <c r="L385" s="5" t="s">
        <v>335</v>
      </c>
      <c r="M385" s="5" t="s">
        <v>3146</v>
      </c>
      <c r="N385" s="5" t="s">
        <v>236</v>
      </c>
      <c r="O385" s="4" t="s">
        <v>3147</v>
      </c>
    </row>
    <row r="386" customFormat="false" ht="21.75" hidden="false" customHeight="true" outlineLevel="0" collapsed="false">
      <c r="B386" s="6" t="s">
        <v>168</v>
      </c>
      <c r="C386" s="6" t="s">
        <v>144</v>
      </c>
      <c r="D386" s="6" t="s">
        <v>3148</v>
      </c>
      <c r="E386" s="10" t="n">
        <v>3</v>
      </c>
      <c r="F386" s="6" t="s">
        <v>28</v>
      </c>
      <c r="G386" s="7" t="s">
        <v>3149</v>
      </c>
      <c r="H386" s="7" t="s">
        <v>3150</v>
      </c>
      <c r="I386" s="7" t="s">
        <v>3151</v>
      </c>
      <c r="J386" s="7" t="s">
        <v>3152</v>
      </c>
      <c r="K386" s="7" t="s">
        <v>3153</v>
      </c>
      <c r="L386" s="7" t="s">
        <v>234</v>
      </c>
      <c r="M386" s="7" t="s">
        <v>3154</v>
      </c>
      <c r="N386" s="7" t="s">
        <v>236</v>
      </c>
      <c r="O386" s="6" t="s">
        <v>3155</v>
      </c>
    </row>
    <row r="387" customFormat="false" ht="21.75" hidden="false" customHeight="true" outlineLevel="0" collapsed="false">
      <c r="B387" s="4" t="s">
        <v>168</v>
      </c>
      <c r="C387" s="4" t="s">
        <v>144</v>
      </c>
      <c r="D387" s="4" t="s">
        <v>3156</v>
      </c>
      <c r="E387" s="9" t="n">
        <v>4</v>
      </c>
      <c r="F387" s="4" t="s">
        <v>30</v>
      </c>
      <c r="G387" s="5" t="s">
        <v>3157</v>
      </c>
      <c r="H387" s="5" t="s">
        <v>3158</v>
      </c>
      <c r="I387" s="5" t="s">
        <v>3159</v>
      </c>
      <c r="J387" s="5" t="s">
        <v>3160</v>
      </c>
      <c r="K387" s="5" t="s">
        <v>3161</v>
      </c>
      <c r="L387" s="5" t="s">
        <v>234</v>
      </c>
      <c r="M387" s="5" t="s">
        <v>3162</v>
      </c>
      <c r="N387" s="5" t="s">
        <v>236</v>
      </c>
      <c r="O387" s="4" t="s">
        <v>3163</v>
      </c>
    </row>
    <row r="388" customFormat="false" ht="21.75" hidden="false" customHeight="true" outlineLevel="0" collapsed="false">
      <c r="B388" s="6" t="s">
        <v>168</v>
      </c>
      <c r="C388" s="6" t="s">
        <v>144</v>
      </c>
      <c r="D388" s="6" t="s">
        <v>3164</v>
      </c>
      <c r="E388" s="10" t="n">
        <v>4</v>
      </c>
      <c r="F388" s="6" t="s">
        <v>30</v>
      </c>
      <c r="G388" s="7" t="s">
        <v>3165</v>
      </c>
      <c r="H388" s="7" t="s">
        <v>3166</v>
      </c>
      <c r="I388" s="7" t="s">
        <v>3167</v>
      </c>
      <c r="J388" s="7" t="s">
        <v>3168</v>
      </c>
      <c r="K388" s="7" t="s">
        <v>3169</v>
      </c>
      <c r="L388" s="7" t="s">
        <v>335</v>
      </c>
      <c r="M388" s="7" t="s">
        <v>3170</v>
      </c>
      <c r="N388" s="7" t="s">
        <v>236</v>
      </c>
      <c r="O388" s="6" t="s">
        <v>3171</v>
      </c>
    </row>
    <row r="389" customFormat="false" ht="21.75" hidden="false" customHeight="true" outlineLevel="0" collapsed="false">
      <c r="B389" s="4" t="s">
        <v>174</v>
      </c>
      <c r="C389" s="4" t="s">
        <v>144</v>
      </c>
      <c r="D389" s="4" t="s">
        <v>3172</v>
      </c>
      <c r="E389" s="9" t="n">
        <v>0</v>
      </c>
      <c r="F389" s="4" t="s">
        <v>22</v>
      </c>
      <c r="G389" s="5" t="s">
        <v>3173</v>
      </c>
      <c r="H389" s="5" t="s">
        <v>3174</v>
      </c>
      <c r="I389" s="5" t="s">
        <v>3175</v>
      </c>
      <c r="J389" s="5" t="s">
        <v>3176</v>
      </c>
      <c r="K389" s="5"/>
      <c r="L389" s="5"/>
      <c r="M389" s="5" t="s">
        <v>3177</v>
      </c>
      <c r="N389" s="5" t="s">
        <v>236</v>
      </c>
      <c r="O389" s="4" t="s">
        <v>3178</v>
      </c>
    </row>
    <row r="390" customFormat="false" ht="21.75" hidden="false" customHeight="true" outlineLevel="0" collapsed="false">
      <c r="B390" s="6" t="s">
        <v>174</v>
      </c>
      <c r="C390" s="6" t="s">
        <v>144</v>
      </c>
      <c r="D390" s="6" t="s">
        <v>3179</v>
      </c>
      <c r="E390" s="10" t="n">
        <v>0</v>
      </c>
      <c r="F390" s="6" t="s">
        <v>22</v>
      </c>
      <c r="G390" s="7" t="s">
        <v>3180</v>
      </c>
      <c r="H390" s="7" t="s">
        <v>3181</v>
      </c>
      <c r="I390" s="7" t="s">
        <v>3182</v>
      </c>
      <c r="J390" s="7" t="s">
        <v>3183</v>
      </c>
      <c r="K390" s="7" t="s">
        <v>3184</v>
      </c>
      <c r="L390" s="7" t="s">
        <v>260</v>
      </c>
      <c r="M390" s="7" t="s">
        <v>3185</v>
      </c>
      <c r="N390" s="7" t="s">
        <v>236</v>
      </c>
      <c r="O390" s="6" t="s">
        <v>3186</v>
      </c>
    </row>
    <row r="391" customFormat="false" ht="21.75" hidden="false" customHeight="true" outlineLevel="0" collapsed="false">
      <c r="B391" s="4" t="s">
        <v>174</v>
      </c>
      <c r="C391" s="4" t="s">
        <v>144</v>
      </c>
      <c r="D391" s="4" t="s">
        <v>3187</v>
      </c>
      <c r="E391" s="9" t="n">
        <v>1</v>
      </c>
      <c r="F391" s="4" t="s">
        <v>24</v>
      </c>
      <c r="G391" s="5" t="s">
        <v>3188</v>
      </c>
      <c r="H391" s="5" t="s">
        <v>3189</v>
      </c>
      <c r="I391" s="5" t="s">
        <v>3190</v>
      </c>
      <c r="J391" s="5" t="s">
        <v>3191</v>
      </c>
      <c r="K391" s="5" t="s">
        <v>3192</v>
      </c>
      <c r="L391" s="5" t="s">
        <v>260</v>
      </c>
      <c r="M391" s="5" t="s">
        <v>3193</v>
      </c>
      <c r="N391" s="5" t="s">
        <v>236</v>
      </c>
      <c r="O391" s="4" t="s">
        <v>3194</v>
      </c>
    </row>
    <row r="392" customFormat="false" ht="21.75" hidden="false" customHeight="true" outlineLevel="0" collapsed="false">
      <c r="B392" s="6" t="s">
        <v>174</v>
      </c>
      <c r="C392" s="6" t="s">
        <v>144</v>
      </c>
      <c r="D392" s="6" t="s">
        <v>3195</v>
      </c>
      <c r="E392" s="10" t="n">
        <v>1</v>
      </c>
      <c r="F392" s="6" t="s">
        <v>24</v>
      </c>
      <c r="G392" s="7" t="s">
        <v>3196</v>
      </c>
      <c r="H392" s="7" t="s">
        <v>3197</v>
      </c>
      <c r="I392" s="7" t="s">
        <v>3198</v>
      </c>
      <c r="J392" s="7" t="s">
        <v>3199</v>
      </c>
      <c r="K392" s="7" t="s">
        <v>3200</v>
      </c>
      <c r="L392" s="7" t="s">
        <v>234</v>
      </c>
      <c r="M392" s="7" t="s">
        <v>3201</v>
      </c>
      <c r="N392" s="7" t="s">
        <v>236</v>
      </c>
      <c r="O392" s="6" t="s">
        <v>3202</v>
      </c>
    </row>
    <row r="393" customFormat="false" ht="21.75" hidden="false" customHeight="true" outlineLevel="0" collapsed="false">
      <c r="B393" s="4" t="s">
        <v>174</v>
      </c>
      <c r="C393" s="4" t="s">
        <v>144</v>
      </c>
      <c r="D393" s="4" t="s">
        <v>3203</v>
      </c>
      <c r="E393" s="9" t="n">
        <v>1</v>
      </c>
      <c r="F393" s="4" t="s">
        <v>24</v>
      </c>
      <c r="G393" s="5" t="s">
        <v>3204</v>
      </c>
      <c r="H393" s="5" t="s">
        <v>3205</v>
      </c>
      <c r="I393" s="5" t="s">
        <v>3206</v>
      </c>
      <c r="J393" s="5" t="s">
        <v>3207</v>
      </c>
      <c r="K393" s="5"/>
      <c r="L393" s="5"/>
      <c r="M393" s="5" t="s">
        <v>3208</v>
      </c>
      <c r="N393" s="5" t="s">
        <v>236</v>
      </c>
      <c r="O393" s="4" t="s">
        <v>3209</v>
      </c>
    </row>
    <row r="394" customFormat="false" ht="21.75" hidden="false" customHeight="true" outlineLevel="0" collapsed="false">
      <c r="B394" s="6" t="s">
        <v>174</v>
      </c>
      <c r="C394" s="6" t="s">
        <v>144</v>
      </c>
      <c r="D394" s="6" t="s">
        <v>3210</v>
      </c>
      <c r="E394" s="10" t="n">
        <v>2</v>
      </c>
      <c r="F394" s="6" t="s">
        <v>26</v>
      </c>
      <c r="G394" s="7" t="s">
        <v>3211</v>
      </c>
      <c r="H394" s="7" t="s">
        <v>3212</v>
      </c>
      <c r="I394" s="7" t="s">
        <v>3213</v>
      </c>
      <c r="J394" s="7" t="s">
        <v>3214</v>
      </c>
      <c r="K394" s="7" t="s">
        <v>3215</v>
      </c>
      <c r="L394" s="7" t="s">
        <v>389</v>
      </c>
      <c r="M394" s="7" t="s">
        <v>3216</v>
      </c>
      <c r="N394" s="7" t="s">
        <v>236</v>
      </c>
      <c r="O394" s="6" t="s">
        <v>3217</v>
      </c>
    </row>
    <row r="395" customFormat="false" ht="21.75" hidden="false" customHeight="true" outlineLevel="0" collapsed="false">
      <c r="B395" s="4" t="s">
        <v>174</v>
      </c>
      <c r="C395" s="4" t="s">
        <v>144</v>
      </c>
      <c r="D395" s="4" t="s">
        <v>3218</v>
      </c>
      <c r="E395" s="9" t="n">
        <v>2</v>
      </c>
      <c r="F395" s="4" t="s">
        <v>26</v>
      </c>
      <c r="G395" s="5" t="s">
        <v>3219</v>
      </c>
      <c r="H395" s="5" t="s">
        <v>3220</v>
      </c>
      <c r="I395" s="5" t="s">
        <v>3221</v>
      </c>
      <c r="J395" s="5" t="s">
        <v>3222</v>
      </c>
      <c r="K395" s="5" t="s">
        <v>3223</v>
      </c>
      <c r="L395" s="5" t="s">
        <v>244</v>
      </c>
      <c r="M395" s="5" t="s">
        <v>3224</v>
      </c>
      <c r="N395" s="5" t="s">
        <v>236</v>
      </c>
      <c r="O395" s="4" t="s">
        <v>3225</v>
      </c>
    </row>
    <row r="396" customFormat="false" ht="21.75" hidden="false" customHeight="true" outlineLevel="0" collapsed="false">
      <c r="B396" s="6" t="s">
        <v>174</v>
      </c>
      <c r="C396" s="6" t="s">
        <v>144</v>
      </c>
      <c r="D396" s="6" t="s">
        <v>3226</v>
      </c>
      <c r="E396" s="10" t="n">
        <v>3</v>
      </c>
      <c r="F396" s="6" t="s">
        <v>28</v>
      </c>
      <c r="G396" s="7" t="s">
        <v>3227</v>
      </c>
      <c r="H396" s="7" t="s">
        <v>3228</v>
      </c>
      <c r="I396" s="7" t="s">
        <v>3229</v>
      </c>
      <c r="J396" s="7" t="s">
        <v>3230</v>
      </c>
      <c r="K396" s="7"/>
      <c r="L396" s="7"/>
      <c r="M396" s="7" t="s">
        <v>3231</v>
      </c>
      <c r="N396" s="7" t="s">
        <v>236</v>
      </c>
      <c r="O396" s="6" t="s">
        <v>3232</v>
      </c>
    </row>
    <row r="397" customFormat="false" ht="21.75" hidden="false" customHeight="true" outlineLevel="0" collapsed="false">
      <c r="B397" s="4" t="s">
        <v>174</v>
      </c>
      <c r="C397" s="4" t="s">
        <v>144</v>
      </c>
      <c r="D397" s="4" t="s">
        <v>3233</v>
      </c>
      <c r="E397" s="9" t="n">
        <v>3</v>
      </c>
      <c r="F397" s="4" t="s">
        <v>28</v>
      </c>
      <c r="G397" s="5" t="s">
        <v>3234</v>
      </c>
      <c r="H397" s="5" t="s">
        <v>3235</v>
      </c>
      <c r="I397" s="5" t="s">
        <v>3236</v>
      </c>
      <c r="J397" s="5" t="s">
        <v>3237</v>
      </c>
      <c r="K397" s="5"/>
      <c r="L397" s="5"/>
      <c r="M397" s="5" t="s">
        <v>3238</v>
      </c>
      <c r="N397" s="5" t="s">
        <v>236</v>
      </c>
      <c r="O397" s="4" t="s">
        <v>3239</v>
      </c>
    </row>
    <row r="398" customFormat="false" ht="21.75" hidden="false" customHeight="true" outlineLevel="0" collapsed="false">
      <c r="B398" s="6" t="s">
        <v>174</v>
      </c>
      <c r="C398" s="6" t="s">
        <v>144</v>
      </c>
      <c r="D398" s="6" t="s">
        <v>3240</v>
      </c>
      <c r="E398" s="10" t="n">
        <v>4</v>
      </c>
      <c r="F398" s="6" t="s">
        <v>30</v>
      </c>
      <c r="G398" s="7" t="s">
        <v>3241</v>
      </c>
      <c r="H398" s="7" t="s">
        <v>3242</v>
      </c>
      <c r="I398" s="7" t="s">
        <v>3243</v>
      </c>
      <c r="J398" s="7" t="s">
        <v>3244</v>
      </c>
      <c r="K398" s="7" t="s">
        <v>3245</v>
      </c>
      <c r="L398" s="7" t="s">
        <v>335</v>
      </c>
      <c r="M398" s="7" t="s">
        <v>3246</v>
      </c>
      <c r="N398" s="7" t="s">
        <v>236</v>
      </c>
      <c r="O398" s="6" t="s">
        <v>3247</v>
      </c>
    </row>
    <row r="399" customFormat="false" ht="21.75" hidden="false" customHeight="true" outlineLevel="0" collapsed="false">
      <c r="B399" s="4" t="s">
        <v>179</v>
      </c>
      <c r="C399" s="4" t="s">
        <v>180</v>
      </c>
      <c r="D399" s="4" t="s">
        <v>3248</v>
      </c>
      <c r="E399" s="9" t="n">
        <v>0</v>
      </c>
      <c r="F399" s="4" t="s">
        <v>22</v>
      </c>
      <c r="G399" s="5" t="s">
        <v>3249</v>
      </c>
      <c r="H399" s="5" t="s">
        <v>3250</v>
      </c>
      <c r="I399" s="5" t="s">
        <v>3251</v>
      </c>
      <c r="J399" s="5" t="s">
        <v>3252</v>
      </c>
      <c r="K399" s="5"/>
      <c r="L399" s="5"/>
      <c r="M399" s="5" t="s">
        <v>3253</v>
      </c>
      <c r="N399" s="5" t="s">
        <v>236</v>
      </c>
      <c r="O399" s="4" t="s">
        <v>3254</v>
      </c>
    </row>
    <row r="400" customFormat="false" ht="21.75" hidden="false" customHeight="true" outlineLevel="0" collapsed="false">
      <c r="B400" s="6" t="s">
        <v>179</v>
      </c>
      <c r="C400" s="6" t="s">
        <v>180</v>
      </c>
      <c r="D400" s="6" t="s">
        <v>3255</v>
      </c>
      <c r="E400" s="10" t="n">
        <v>0</v>
      </c>
      <c r="F400" s="6" t="s">
        <v>22</v>
      </c>
      <c r="G400" s="7" t="s">
        <v>3256</v>
      </c>
      <c r="H400" s="7" t="s">
        <v>3257</v>
      </c>
      <c r="I400" s="7" t="s">
        <v>3258</v>
      </c>
      <c r="J400" s="7" t="s">
        <v>3259</v>
      </c>
      <c r="K400" s="7"/>
      <c r="L400" s="7"/>
      <c r="M400" s="7" t="s">
        <v>3260</v>
      </c>
      <c r="N400" s="7" t="s">
        <v>236</v>
      </c>
      <c r="O400" s="6" t="s">
        <v>3261</v>
      </c>
    </row>
    <row r="401" customFormat="false" ht="21.75" hidden="false" customHeight="true" outlineLevel="0" collapsed="false">
      <c r="B401" s="4" t="s">
        <v>179</v>
      </c>
      <c r="C401" s="4" t="s">
        <v>180</v>
      </c>
      <c r="D401" s="4" t="s">
        <v>3262</v>
      </c>
      <c r="E401" s="9" t="n">
        <v>1</v>
      </c>
      <c r="F401" s="4" t="s">
        <v>24</v>
      </c>
      <c r="G401" s="5" t="s">
        <v>3263</v>
      </c>
      <c r="H401" s="5" t="s">
        <v>3264</v>
      </c>
      <c r="I401" s="5" t="s">
        <v>3265</v>
      </c>
      <c r="J401" s="5" t="s">
        <v>3266</v>
      </c>
      <c r="K401" s="5" t="s">
        <v>3267</v>
      </c>
      <c r="L401" s="5" t="s">
        <v>244</v>
      </c>
      <c r="M401" s="5" t="s">
        <v>3268</v>
      </c>
      <c r="N401" s="5" t="s">
        <v>236</v>
      </c>
      <c r="O401" s="4" t="s">
        <v>3269</v>
      </c>
    </row>
    <row r="402" customFormat="false" ht="21.75" hidden="false" customHeight="true" outlineLevel="0" collapsed="false">
      <c r="B402" s="6" t="s">
        <v>179</v>
      </c>
      <c r="C402" s="6" t="s">
        <v>180</v>
      </c>
      <c r="D402" s="6" t="s">
        <v>3270</v>
      </c>
      <c r="E402" s="10" t="n">
        <v>1</v>
      </c>
      <c r="F402" s="6" t="s">
        <v>24</v>
      </c>
      <c r="G402" s="7" t="s">
        <v>3271</v>
      </c>
      <c r="H402" s="7" t="s">
        <v>3272</v>
      </c>
      <c r="I402" s="7" t="s">
        <v>3273</v>
      </c>
      <c r="J402" s="7" t="s">
        <v>3274</v>
      </c>
      <c r="K402" s="7" t="s">
        <v>3275</v>
      </c>
      <c r="L402" s="7" t="s">
        <v>244</v>
      </c>
      <c r="M402" s="7" t="s">
        <v>3276</v>
      </c>
      <c r="N402" s="7" t="s">
        <v>236</v>
      </c>
      <c r="O402" s="6" t="s">
        <v>3277</v>
      </c>
    </row>
    <row r="403" customFormat="false" ht="21.75" hidden="false" customHeight="true" outlineLevel="0" collapsed="false">
      <c r="B403" s="4" t="s">
        <v>179</v>
      </c>
      <c r="C403" s="4" t="s">
        <v>180</v>
      </c>
      <c r="D403" s="4" t="s">
        <v>3278</v>
      </c>
      <c r="E403" s="9" t="n">
        <v>1</v>
      </c>
      <c r="F403" s="4" t="s">
        <v>24</v>
      </c>
      <c r="G403" s="5" t="s">
        <v>3279</v>
      </c>
      <c r="H403" s="5" t="s">
        <v>3280</v>
      </c>
      <c r="I403" s="5" t="s">
        <v>3281</v>
      </c>
      <c r="J403" s="5" t="s">
        <v>3282</v>
      </c>
      <c r="K403" s="5" t="s">
        <v>3283</v>
      </c>
      <c r="L403" s="5" t="s">
        <v>244</v>
      </c>
      <c r="M403" s="5" t="s">
        <v>3284</v>
      </c>
      <c r="N403" s="5" t="s">
        <v>236</v>
      </c>
      <c r="O403" s="4" t="s">
        <v>3285</v>
      </c>
    </row>
    <row r="404" customFormat="false" ht="21.75" hidden="false" customHeight="true" outlineLevel="0" collapsed="false">
      <c r="B404" s="6" t="s">
        <v>179</v>
      </c>
      <c r="C404" s="6" t="s">
        <v>180</v>
      </c>
      <c r="D404" s="6" t="s">
        <v>3286</v>
      </c>
      <c r="E404" s="10" t="n">
        <v>1</v>
      </c>
      <c r="F404" s="6" t="s">
        <v>24</v>
      </c>
      <c r="G404" s="7" t="s">
        <v>3287</v>
      </c>
      <c r="H404" s="7" t="s">
        <v>3288</v>
      </c>
      <c r="I404" s="7" t="s">
        <v>3289</v>
      </c>
      <c r="J404" s="7" t="s">
        <v>3290</v>
      </c>
      <c r="K404" s="7" t="s">
        <v>3291</v>
      </c>
      <c r="L404" s="7" t="s">
        <v>244</v>
      </c>
      <c r="M404" s="7" t="s">
        <v>3292</v>
      </c>
      <c r="N404" s="7" t="s">
        <v>236</v>
      </c>
      <c r="O404" s="6" t="s">
        <v>3293</v>
      </c>
    </row>
    <row r="405" customFormat="false" ht="21.75" hidden="false" customHeight="true" outlineLevel="0" collapsed="false">
      <c r="B405" s="4" t="s">
        <v>179</v>
      </c>
      <c r="C405" s="4" t="s">
        <v>180</v>
      </c>
      <c r="D405" s="4" t="s">
        <v>3294</v>
      </c>
      <c r="E405" s="9" t="n">
        <v>1</v>
      </c>
      <c r="F405" s="4" t="s">
        <v>24</v>
      </c>
      <c r="G405" s="5" t="s">
        <v>3295</v>
      </c>
      <c r="H405" s="5" t="s">
        <v>3296</v>
      </c>
      <c r="I405" s="5" t="s">
        <v>3297</v>
      </c>
      <c r="J405" s="5" t="s">
        <v>3298</v>
      </c>
      <c r="K405" s="5"/>
      <c r="L405" s="5"/>
      <c r="M405" s="5" t="s">
        <v>3299</v>
      </c>
      <c r="N405" s="5" t="s">
        <v>236</v>
      </c>
      <c r="O405" s="4" t="s">
        <v>3300</v>
      </c>
    </row>
    <row r="406" customFormat="false" ht="21.75" hidden="false" customHeight="true" outlineLevel="0" collapsed="false">
      <c r="B406" s="6" t="s">
        <v>179</v>
      </c>
      <c r="C406" s="6" t="s">
        <v>180</v>
      </c>
      <c r="D406" s="6" t="s">
        <v>3301</v>
      </c>
      <c r="E406" s="10" t="n">
        <v>2</v>
      </c>
      <c r="F406" s="6" t="s">
        <v>26</v>
      </c>
      <c r="G406" s="7" t="s">
        <v>3302</v>
      </c>
      <c r="H406" s="7" t="s">
        <v>3303</v>
      </c>
      <c r="I406" s="7" t="s">
        <v>3304</v>
      </c>
      <c r="J406" s="7" t="s">
        <v>3305</v>
      </c>
      <c r="K406" s="7" t="s">
        <v>3306</v>
      </c>
      <c r="L406" s="7" t="s">
        <v>389</v>
      </c>
      <c r="M406" s="7" t="s">
        <v>3307</v>
      </c>
      <c r="N406" s="7" t="s">
        <v>236</v>
      </c>
      <c r="O406" s="6" t="s">
        <v>3308</v>
      </c>
    </row>
    <row r="407" customFormat="false" ht="21.75" hidden="false" customHeight="true" outlineLevel="0" collapsed="false">
      <c r="B407" s="4" t="s">
        <v>179</v>
      </c>
      <c r="C407" s="4" t="s">
        <v>180</v>
      </c>
      <c r="D407" s="4" t="s">
        <v>3309</v>
      </c>
      <c r="E407" s="9" t="n">
        <v>2</v>
      </c>
      <c r="F407" s="4" t="s">
        <v>26</v>
      </c>
      <c r="G407" s="5" t="s">
        <v>3310</v>
      </c>
      <c r="H407" s="5" t="s">
        <v>3311</v>
      </c>
      <c r="I407" s="5" t="s">
        <v>3312</v>
      </c>
      <c r="J407" s="5" t="s">
        <v>3313</v>
      </c>
      <c r="K407" s="5" t="s">
        <v>3314</v>
      </c>
      <c r="L407" s="5" t="s">
        <v>244</v>
      </c>
      <c r="M407" s="5" t="s">
        <v>3315</v>
      </c>
      <c r="N407" s="5" t="s">
        <v>236</v>
      </c>
      <c r="O407" s="4" t="s">
        <v>3316</v>
      </c>
    </row>
    <row r="408" customFormat="false" ht="21.75" hidden="false" customHeight="true" outlineLevel="0" collapsed="false">
      <c r="B408" s="6" t="s">
        <v>179</v>
      </c>
      <c r="C408" s="6" t="s">
        <v>180</v>
      </c>
      <c r="D408" s="6" t="s">
        <v>3317</v>
      </c>
      <c r="E408" s="10" t="n">
        <v>2</v>
      </c>
      <c r="F408" s="6" t="s">
        <v>26</v>
      </c>
      <c r="G408" s="7" t="s">
        <v>3318</v>
      </c>
      <c r="H408" s="7" t="s">
        <v>3319</v>
      </c>
      <c r="I408" s="7" t="s">
        <v>3320</v>
      </c>
      <c r="J408" s="7" t="s">
        <v>3321</v>
      </c>
      <c r="K408" s="7"/>
      <c r="L408" s="7"/>
      <c r="M408" s="7" t="s">
        <v>3322</v>
      </c>
      <c r="N408" s="7" t="s">
        <v>236</v>
      </c>
      <c r="O408" s="6" t="s">
        <v>3323</v>
      </c>
    </row>
    <row r="409" customFormat="false" ht="21.75" hidden="false" customHeight="true" outlineLevel="0" collapsed="false">
      <c r="B409" s="4" t="s">
        <v>179</v>
      </c>
      <c r="C409" s="4" t="s">
        <v>180</v>
      </c>
      <c r="D409" s="4" t="s">
        <v>3324</v>
      </c>
      <c r="E409" s="9" t="n">
        <v>2</v>
      </c>
      <c r="F409" s="4" t="s">
        <v>26</v>
      </c>
      <c r="G409" s="5" t="s">
        <v>3325</v>
      </c>
      <c r="H409" s="5" t="s">
        <v>3326</v>
      </c>
      <c r="I409" s="5" t="s">
        <v>3327</v>
      </c>
      <c r="J409" s="5" t="s">
        <v>3328</v>
      </c>
      <c r="K409" s="5"/>
      <c r="L409" s="5"/>
      <c r="M409" s="5" t="s">
        <v>3329</v>
      </c>
      <c r="N409" s="5" t="s">
        <v>236</v>
      </c>
      <c r="O409" s="4" t="s">
        <v>3330</v>
      </c>
    </row>
    <row r="410" customFormat="false" ht="21.75" hidden="false" customHeight="true" outlineLevel="0" collapsed="false">
      <c r="B410" s="6" t="s">
        <v>179</v>
      </c>
      <c r="C410" s="6" t="s">
        <v>180</v>
      </c>
      <c r="D410" s="6" t="s">
        <v>3331</v>
      </c>
      <c r="E410" s="10" t="n">
        <v>3</v>
      </c>
      <c r="F410" s="6" t="s">
        <v>28</v>
      </c>
      <c r="G410" s="7" t="s">
        <v>3332</v>
      </c>
      <c r="H410" s="7" t="s">
        <v>3333</v>
      </c>
      <c r="I410" s="7" t="s">
        <v>3334</v>
      </c>
      <c r="J410" s="7" t="s">
        <v>3335</v>
      </c>
      <c r="K410" s="7"/>
      <c r="L410" s="7"/>
      <c r="M410" s="7" t="s">
        <v>3336</v>
      </c>
      <c r="N410" s="7" t="s">
        <v>236</v>
      </c>
      <c r="O410" s="6" t="s">
        <v>3337</v>
      </c>
    </row>
    <row r="411" customFormat="false" ht="21.75" hidden="false" customHeight="true" outlineLevel="0" collapsed="false">
      <c r="B411" s="4" t="s">
        <v>179</v>
      </c>
      <c r="C411" s="4" t="s">
        <v>180</v>
      </c>
      <c r="D411" s="4" t="s">
        <v>3338</v>
      </c>
      <c r="E411" s="9" t="n">
        <v>3</v>
      </c>
      <c r="F411" s="4" t="s">
        <v>28</v>
      </c>
      <c r="G411" s="5" t="s">
        <v>3339</v>
      </c>
      <c r="H411" s="5" t="s">
        <v>3340</v>
      </c>
      <c r="I411" s="5" t="s">
        <v>3341</v>
      </c>
      <c r="J411" s="5" t="s">
        <v>3342</v>
      </c>
      <c r="K411" s="5"/>
      <c r="L411" s="5"/>
      <c r="M411" s="5" t="s">
        <v>3343</v>
      </c>
      <c r="N411" s="5" t="s">
        <v>236</v>
      </c>
      <c r="O411" s="4" t="s">
        <v>3344</v>
      </c>
    </row>
    <row r="412" customFormat="false" ht="21.75" hidden="false" customHeight="true" outlineLevel="0" collapsed="false">
      <c r="B412" s="6" t="s">
        <v>179</v>
      </c>
      <c r="C412" s="6" t="s">
        <v>180</v>
      </c>
      <c r="D412" s="6" t="s">
        <v>3345</v>
      </c>
      <c r="E412" s="10" t="n">
        <v>3</v>
      </c>
      <c r="F412" s="6" t="s">
        <v>28</v>
      </c>
      <c r="G412" s="7" t="s">
        <v>3346</v>
      </c>
      <c r="H412" s="7" t="s">
        <v>3347</v>
      </c>
      <c r="I412" s="7" t="s">
        <v>3348</v>
      </c>
      <c r="J412" s="7" t="s">
        <v>3349</v>
      </c>
      <c r="K412" s="7"/>
      <c r="L412" s="7"/>
      <c r="M412" s="7" t="s">
        <v>3350</v>
      </c>
      <c r="N412" s="7" t="s">
        <v>236</v>
      </c>
      <c r="O412" s="6" t="s">
        <v>3351</v>
      </c>
    </row>
    <row r="413" customFormat="false" ht="21.75" hidden="false" customHeight="true" outlineLevel="0" collapsed="false">
      <c r="B413" s="4" t="s">
        <v>179</v>
      </c>
      <c r="C413" s="4" t="s">
        <v>180</v>
      </c>
      <c r="D413" s="4" t="s">
        <v>3352</v>
      </c>
      <c r="E413" s="9" t="n">
        <v>4</v>
      </c>
      <c r="F413" s="4" t="s">
        <v>30</v>
      </c>
      <c r="G413" s="5" t="s">
        <v>3353</v>
      </c>
      <c r="H413" s="5" t="s">
        <v>3354</v>
      </c>
      <c r="I413" s="5" t="s">
        <v>3355</v>
      </c>
      <c r="J413" s="5" t="s">
        <v>3356</v>
      </c>
      <c r="K413" s="5" t="s">
        <v>3357</v>
      </c>
      <c r="L413" s="5" t="s">
        <v>335</v>
      </c>
      <c r="M413" s="5" t="s">
        <v>3358</v>
      </c>
      <c r="N413" s="5" t="s">
        <v>236</v>
      </c>
      <c r="O413" s="4" t="s">
        <v>3359</v>
      </c>
    </row>
    <row r="414" customFormat="false" ht="21.75" hidden="false" customHeight="true" outlineLevel="0" collapsed="false">
      <c r="B414" s="6" t="s">
        <v>179</v>
      </c>
      <c r="C414" s="6" t="s">
        <v>180</v>
      </c>
      <c r="D414" s="6" t="s">
        <v>3360</v>
      </c>
      <c r="E414" s="10" t="n">
        <v>4</v>
      </c>
      <c r="F414" s="6" t="s">
        <v>30</v>
      </c>
      <c r="G414" s="7" t="s">
        <v>3361</v>
      </c>
      <c r="H414" s="7" t="s">
        <v>3362</v>
      </c>
      <c r="I414" s="7" t="s">
        <v>3363</v>
      </c>
      <c r="J414" s="7" t="s">
        <v>3364</v>
      </c>
      <c r="K414" s="7" t="s">
        <v>3365</v>
      </c>
      <c r="L414" s="7" t="s">
        <v>335</v>
      </c>
      <c r="M414" s="7" t="s">
        <v>3366</v>
      </c>
      <c r="N414" s="7" t="s">
        <v>236</v>
      </c>
      <c r="O414" s="6" t="s">
        <v>3367</v>
      </c>
    </row>
    <row r="415" customFormat="false" ht="21.75" hidden="false" customHeight="true" outlineLevel="0" collapsed="false">
      <c r="B415" s="4" t="s">
        <v>179</v>
      </c>
      <c r="C415" s="4" t="s">
        <v>180</v>
      </c>
      <c r="D415" s="4" t="s">
        <v>3368</v>
      </c>
      <c r="E415" s="9" t="n">
        <v>4</v>
      </c>
      <c r="F415" s="4" t="s">
        <v>30</v>
      </c>
      <c r="G415" s="5" t="s">
        <v>3369</v>
      </c>
      <c r="H415" s="5" t="s">
        <v>3370</v>
      </c>
      <c r="I415" s="5" t="s">
        <v>3371</v>
      </c>
      <c r="J415" s="5" t="s">
        <v>3372</v>
      </c>
      <c r="K415" s="5"/>
      <c r="L415" s="5"/>
      <c r="M415" s="5" t="s">
        <v>3373</v>
      </c>
      <c r="N415" s="5" t="s">
        <v>236</v>
      </c>
      <c r="O415" s="4" t="s">
        <v>3374</v>
      </c>
    </row>
    <row r="416" customFormat="false" ht="21.75" hidden="false" customHeight="true" outlineLevel="0" collapsed="false">
      <c r="B416" s="6" t="s">
        <v>179</v>
      </c>
      <c r="C416" s="6" t="s">
        <v>180</v>
      </c>
      <c r="D416" s="6" t="s">
        <v>3375</v>
      </c>
      <c r="E416" s="10" t="n">
        <v>4</v>
      </c>
      <c r="F416" s="6" t="s">
        <v>30</v>
      </c>
      <c r="G416" s="7" t="s">
        <v>3376</v>
      </c>
      <c r="H416" s="7" t="s">
        <v>3377</v>
      </c>
      <c r="I416" s="7" t="s">
        <v>3378</v>
      </c>
      <c r="J416" s="7" t="s">
        <v>3379</v>
      </c>
      <c r="K416" s="7" t="s">
        <v>3380</v>
      </c>
      <c r="L416" s="7" t="s">
        <v>234</v>
      </c>
      <c r="M416" s="7" t="s">
        <v>3381</v>
      </c>
      <c r="N416" s="7" t="s">
        <v>236</v>
      </c>
      <c r="O416" s="6" t="s">
        <v>3382</v>
      </c>
    </row>
    <row r="417" customFormat="false" ht="21.75" hidden="false" customHeight="true" outlineLevel="0" collapsed="false">
      <c r="B417" s="4" t="s">
        <v>179</v>
      </c>
      <c r="C417" s="4" t="s">
        <v>180</v>
      </c>
      <c r="D417" s="4" t="s">
        <v>3383</v>
      </c>
      <c r="E417" s="9" t="n">
        <v>2</v>
      </c>
      <c r="F417" s="4" t="s">
        <v>26</v>
      </c>
      <c r="G417" s="5" t="s">
        <v>3384</v>
      </c>
      <c r="H417" s="5" t="s">
        <v>3385</v>
      </c>
      <c r="I417" s="5" t="s">
        <v>3386</v>
      </c>
      <c r="J417" s="5" t="s">
        <v>3387</v>
      </c>
      <c r="K417" s="5" t="s">
        <v>3388</v>
      </c>
      <c r="L417" s="5" t="s">
        <v>291</v>
      </c>
      <c r="M417" s="5" t="s">
        <v>3389</v>
      </c>
      <c r="N417" s="5" t="s">
        <v>236</v>
      </c>
      <c r="O417" s="4" t="s">
        <v>3390</v>
      </c>
    </row>
    <row r="418" customFormat="false" ht="21.75" hidden="false" customHeight="true" outlineLevel="0" collapsed="false">
      <c r="B418" s="6" t="s">
        <v>185</v>
      </c>
      <c r="C418" s="6" t="s">
        <v>180</v>
      </c>
      <c r="D418" s="6" t="s">
        <v>3391</v>
      </c>
      <c r="E418" s="10" t="n">
        <v>0</v>
      </c>
      <c r="F418" s="6" t="s">
        <v>22</v>
      </c>
      <c r="G418" s="7" t="s">
        <v>3392</v>
      </c>
      <c r="H418" s="7" t="s">
        <v>3393</v>
      </c>
      <c r="I418" s="7" t="s">
        <v>3394</v>
      </c>
      <c r="J418" s="7" t="s">
        <v>3395</v>
      </c>
      <c r="K418" s="7"/>
      <c r="L418" s="7"/>
      <c r="M418" s="7" t="s">
        <v>3396</v>
      </c>
      <c r="N418" s="7" t="s">
        <v>236</v>
      </c>
      <c r="O418" s="6" t="s">
        <v>3397</v>
      </c>
    </row>
    <row r="419" customFormat="false" ht="21.75" hidden="false" customHeight="true" outlineLevel="0" collapsed="false">
      <c r="B419" s="4" t="s">
        <v>185</v>
      </c>
      <c r="C419" s="4" t="s">
        <v>180</v>
      </c>
      <c r="D419" s="4" t="s">
        <v>3398</v>
      </c>
      <c r="E419" s="9" t="n">
        <v>1</v>
      </c>
      <c r="F419" s="4" t="s">
        <v>24</v>
      </c>
      <c r="G419" s="5" t="s">
        <v>3399</v>
      </c>
      <c r="H419" s="5" t="s">
        <v>3400</v>
      </c>
      <c r="I419" s="5" t="s">
        <v>3401</v>
      </c>
      <c r="J419" s="5" t="s">
        <v>3402</v>
      </c>
      <c r="K419" s="5"/>
      <c r="L419" s="5"/>
      <c r="M419" s="5" t="s">
        <v>3403</v>
      </c>
      <c r="N419" s="5" t="s">
        <v>236</v>
      </c>
      <c r="O419" s="4" t="s">
        <v>3404</v>
      </c>
    </row>
    <row r="420" customFormat="false" ht="21.75" hidden="false" customHeight="true" outlineLevel="0" collapsed="false">
      <c r="B420" s="6" t="s">
        <v>185</v>
      </c>
      <c r="C420" s="6" t="s">
        <v>180</v>
      </c>
      <c r="D420" s="6" t="s">
        <v>3405</v>
      </c>
      <c r="E420" s="10" t="n">
        <v>1</v>
      </c>
      <c r="F420" s="6" t="s">
        <v>24</v>
      </c>
      <c r="G420" s="7" t="s">
        <v>3406</v>
      </c>
      <c r="H420" s="7" t="s">
        <v>3407</v>
      </c>
      <c r="I420" s="7" t="s">
        <v>3408</v>
      </c>
      <c r="J420" s="7" t="s">
        <v>3409</v>
      </c>
      <c r="K420" s="7" t="s">
        <v>3410</v>
      </c>
      <c r="L420" s="7" t="s">
        <v>469</v>
      </c>
      <c r="M420" s="7" t="s">
        <v>3411</v>
      </c>
      <c r="N420" s="7" t="s">
        <v>236</v>
      </c>
      <c r="O420" s="6" t="s">
        <v>3412</v>
      </c>
    </row>
    <row r="421" customFormat="false" ht="21.75" hidden="false" customHeight="true" outlineLevel="0" collapsed="false">
      <c r="B421" s="4" t="s">
        <v>185</v>
      </c>
      <c r="C421" s="4" t="s">
        <v>180</v>
      </c>
      <c r="D421" s="4" t="s">
        <v>3413</v>
      </c>
      <c r="E421" s="9" t="n">
        <v>2</v>
      </c>
      <c r="F421" s="4" t="s">
        <v>26</v>
      </c>
      <c r="G421" s="5" t="s">
        <v>3414</v>
      </c>
      <c r="H421" s="5" t="s">
        <v>3415</v>
      </c>
      <c r="I421" s="5" t="s">
        <v>3416</v>
      </c>
      <c r="J421" s="5" t="s">
        <v>3417</v>
      </c>
      <c r="K421" s="5"/>
      <c r="L421" s="5"/>
      <c r="M421" s="5" t="s">
        <v>3418</v>
      </c>
      <c r="N421" s="5" t="s">
        <v>236</v>
      </c>
      <c r="O421" s="4" t="s">
        <v>3419</v>
      </c>
    </row>
    <row r="422" customFormat="false" ht="21.75" hidden="false" customHeight="true" outlineLevel="0" collapsed="false">
      <c r="B422" s="6" t="s">
        <v>185</v>
      </c>
      <c r="C422" s="6" t="s">
        <v>180</v>
      </c>
      <c r="D422" s="6" t="s">
        <v>3420</v>
      </c>
      <c r="E422" s="10" t="n">
        <v>1</v>
      </c>
      <c r="F422" s="6" t="s">
        <v>24</v>
      </c>
      <c r="G422" s="7" t="s">
        <v>3421</v>
      </c>
      <c r="H422" s="7" t="s">
        <v>3422</v>
      </c>
      <c r="I422" s="7" t="s">
        <v>3423</v>
      </c>
      <c r="J422" s="7" t="s">
        <v>3424</v>
      </c>
      <c r="K422" s="7"/>
      <c r="L422" s="7"/>
      <c r="M422" s="7" t="s">
        <v>3425</v>
      </c>
      <c r="N422" s="7" t="s">
        <v>236</v>
      </c>
      <c r="O422" s="6" t="s">
        <v>3426</v>
      </c>
    </row>
    <row r="423" customFormat="false" ht="21.75" hidden="false" customHeight="true" outlineLevel="0" collapsed="false">
      <c r="B423" s="4" t="s">
        <v>185</v>
      </c>
      <c r="C423" s="4" t="s">
        <v>180</v>
      </c>
      <c r="D423" s="4" t="s">
        <v>3427</v>
      </c>
      <c r="E423" s="9" t="n">
        <v>2</v>
      </c>
      <c r="F423" s="4" t="s">
        <v>26</v>
      </c>
      <c r="G423" s="5" t="s">
        <v>3428</v>
      </c>
      <c r="H423" s="5" t="s">
        <v>3429</v>
      </c>
      <c r="I423" s="5" t="s">
        <v>3430</v>
      </c>
      <c r="J423" s="5" t="s">
        <v>3431</v>
      </c>
      <c r="K423" s="5"/>
      <c r="L423" s="5"/>
      <c r="M423" s="5" t="s">
        <v>3432</v>
      </c>
      <c r="N423" s="5" t="s">
        <v>236</v>
      </c>
      <c r="O423" s="4" t="s">
        <v>3433</v>
      </c>
    </row>
    <row r="424" customFormat="false" ht="21.75" hidden="false" customHeight="true" outlineLevel="0" collapsed="false">
      <c r="B424" s="6" t="s">
        <v>185</v>
      </c>
      <c r="C424" s="6" t="s">
        <v>180</v>
      </c>
      <c r="D424" s="6" t="s">
        <v>3434</v>
      </c>
      <c r="E424" s="10" t="n">
        <v>2</v>
      </c>
      <c r="F424" s="6" t="s">
        <v>26</v>
      </c>
      <c r="G424" s="7" t="s">
        <v>3435</v>
      </c>
      <c r="H424" s="7" t="s">
        <v>3436</v>
      </c>
      <c r="I424" s="7" t="s">
        <v>3437</v>
      </c>
      <c r="J424" s="7" t="s">
        <v>3438</v>
      </c>
      <c r="K424" s="7"/>
      <c r="L424" s="7"/>
      <c r="M424" s="7" t="s">
        <v>3439</v>
      </c>
      <c r="N424" s="7" t="s">
        <v>236</v>
      </c>
      <c r="O424" s="6" t="s">
        <v>3440</v>
      </c>
    </row>
    <row r="425" customFormat="false" ht="21.75" hidden="false" customHeight="true" outlineLevel="0" collapsed="false">
      <c r="B425" s="4" t="s">
        <v>185</v>
      </c>
      <c r="C425" s="4" t="s">
        <v>180</v>
      </c>
      <c r="D425" s="4" t="s">
        <v>3441</v>
      </c>
      <c r="E425" s="9" t="n">
        <v>1</v>
      </c>
      <c r="F425" s="4" t="s">
        <v>24</v>
      </c>
      <c r="G425" s="5" t="s">
        <v>3442</v>
      </c>
      <c r="H425" s="5" t="s">
        <v>3443</v>
      </c>
      <c r="I425" s="5" t="s">
        <v>3444</v>
      </c>
      <c r="J425" s="5" t="s">
        <v>3445</v>
      </c>
      <c r="K425" s="5"/>
      <c r="L425" s="5"/>
      <c r="M425" s="5" t="s">
        <v>3446</v>
      </c>
      <c r="N425" s="5" t="s">
        <v>236</v>
      </c>
      <c r="O425" s="4" t="s">
        <v>3447</v>
      </c>
    </row>
    <row r="426" customFormat="false" ht="21.75" hidden="false" customHeight="true" outlineLevel="0" collapsed="false">
      <c r="B426" s="6" t="s">
        <v>185</v>
      </c>
      <c r="C426" s="6" t="s">
        <v>180</v>
      </c>
      <c r="D426" s="6" t="s">
        <v>3448</v>
      </c>
      <c r="E426" s="10" t="n">
        <v>2</v>
      </c>
      <c r="F426" s="6" t="s">
        <v>26</v>
      </c>
      <c r="G426" s="7" t="s">
        <v>3449</v>
      </c>
      <c r="H426" s="7" t="s">
        <v>3450</v>
      </c>
      <c r="I426" s="7" t="s">
        <v>3451</v>
      </c>
      <c r="J426" s="7" t="s">
        <v>3452</v>
      </c>
      <c r="K426" s="7" t="s">
        <v>3453</v>
      </c>
      <c r="L426" s="7" t="s">
        <v>244</v>
      </c>
      <c r="M426" s="7" t="s">
        <v>3454</v>
      </c>
      <c r="N426" s="7" t="s">
        <v>236</v>
      </c>
      <c r="O426" s="6" t="s">
        <v>3455</v>
      </c>
    </row>
    <row r="427" customFormat="false" ht="21.75" hidden="false" customHeight="true" outlineLevel="0" collapsed="false">
      <c r="B427" s="4" t="s">
        <v>185</v>
      </c>
      <c r="C427" s="4" t="s">
        <v>180</v>
      </c>
      <c r="D427" s="4" t="s">
        <v>3456</v>
      </c>
      <c r="E427" s="9" t="n">
        <v>1</v>
      </c>
      <c r="F427" s="4" t="s">
        <v>24</v>
      </c>
      <c r="G427" s="5" t="s">
        <v>3457</v>
      </c>
      <c r="H427" s="5" t="s">
        <v>3458</v>
      </c>
      <c r="I427" s="5" t="s">
        <v>3459</v>
      </c>
      <c r="J427" s="5" t="s">
        <v>3460</v>
      </c>
      <c r="K427" s="5" t="s">
        <v>3461</v>
      </c>
      <c r="L427" s="5" t="s">
        <v>469</v>
      </c>
      <c r="M427" s="5" t="s">
        <v>3462</v>
      </c>
      <c r="N427" s="5" t="s">
        <v>236</v>
      </c>
      <c r="O427" s="4" t="s">
        <v>3463</v>
      </c>
    </row>
    <row r="428" customFormat="false" ht="21.75" hidden="false" customHeight="true" outlineLevel="0" collapsed="false">
      <c r="B428" s="6" t="s">
        <v>185</v>
      </c>
      <c r="C428" s="6" t="s">
        <v>180</v>
      </c>
      <c r="D428" s="6" t="s">
        <v>3464</v>
      </c>
      <c r="E428" s="10" t="n">
        <v>1</v>
      </c>
      <c r="F428" s="6" t="s">
        <v>24</v>
      </c>
      <c r="G428" s="7" t="s">
        <v>3465</v>
      </c>
      <c r="H428" s="7" t="s">
        <v>3466</v>
      </c>
      <c r="I428" s="7" t="s">
        <v>3467</v>
      </c>
      <c r="J428" s="7" t="s">
        <v>3468</v>
      </c>
      <c r="K428" s="7" t="s">
        <v>3469</v>
      </c>
      <c r="L428" s="7" t="s">
        <v>469</v>
      </c>
      <c r="M428" s="7" t="s">
        <v>3470</v>
      </c>
      <c r="N428" s="7" t="s">
        <v>236</v>
      </c>
      <c r="O428" s="6" t="s">
        <v>3471</v>
      </c>
    </row>
    <row r="429" customFormat="false" ht="21.75" hidden="false" customHeight="true" outlineLevel="0" collapsed="false">
      <c r="B429" s="4" t="s">
        <v>185</v>
      </c>
      <c r="C429" s="4" t="s">
        <v>180</v>
      </c>
      <c r="D429" s="4" t="s">
        <v>3472</v>
      </c>
      <c r="E429" s="9" t="n">
        <v>2</v>
      </c>
      <c r="F429" s="4" t="s">
        <v>26</v>
      </c>
      <c r="G429" s="5" t="s">
        <v>3473</v>
      </c>
      <c r="H429" s="5" t="s">
        <v>3474</v>
      </c>
      <c r="I429" s="5" t="s">
        <v>3475</v>
      </c>
      <c r="J429" s="5" t="s">
        <v>3476</v>
      </c>
      <c r="K429" s="5" t="s">
        <v>3477</v>
      </c>
      <c r="L429" s="5" t="s">
        <v>234</v>
      </c>
      <c r="M429" s="5" t="s">
        <v>3478</v>
      </c>
      <c r="N429" s="5" t="s">
        <v>236</v>
      </c>
      <c r="O429" s="4" t="s">
        <v>3479</v>
      </c>
    </row>
    <row r="430" customFormat="false" ht="21.75" hidden="false" customHeight="true" outlineLevel="0" collapsed="false">
      <c r="B430" s="6" t="s">
        <v>185</v>
      </c>
      <c r="C430" s="6" t="s">
        <v>180</v>
      </c>
      <c r="D430" s="6" t="s">
        <v>3480</v>
      </c>
      <c r="E430" s="10" t="n">
        <v>1</v>
      </c>
      <c r="F430" s="6" t="s">
        <v>24</v>
      </c>
      <c r="G430" s="7" t="s">
        <v>3481</v>
      </c>
      <c r="H430" s="7" t="s">
        <v>3482</v>
      </c>
      <c r="I430" s="7" t="s">
        <v>3483</v>
      </c>
      <c r="J430" s="7" t="s">
        <v>3484</v>
      </c>
      <c r="K430" s="7"/>
      <c r="L430" s="7"/>
      <c r="M430" s="7" t="s">
        <v>3485</v>
      </c>
      <c r="N430" s="7" t="s">
        <v>236</v>
      </c>
      <c r="O430" s="6" t="s">
        <v>3486</v>
      </c>
    </row>
    <row r="431" customFormat="false" ht="21.75" hidden="false" customHeight="true" outlineLevel="0" collapsed="false">
      <c r="B431" s="4" t="s">
        <v>185</v>
      </c>
      <c r="C431" s="4" t="s">
        <v>180</v>
      </c>
      <c r="D431" s="4" t="s">
        <v>3487</v>
      </c>
      <c r="E431" s="9" t="n">
        <v>1</v>
      </c>
      <c r="F431" s="4" t="s">
        <v>24</v>
      </c>
      <c r="G431" s="5" t="s">
        <v>3488</v>
      </c>
      <c r="H431" s="5" t="s">
        <v>3489</v>
      </c>
      <c r="I431" s="5" t="s">
        <v>3490</v>
      </c>
      <c r="J431" s="5" t="s">
        <v>3491</v>
      </c>
      <c r="K431" s="5"/>
      <c r="L431" s="5"/>
      <c r="M431" s="5" t="s">
        <v>3492</v>
      </c>
      <c r="N431" s="5" t="s">
        <v>236</v>
      </c>
      <c r="O431" s="4" t="s">
        <v>3493</v>
      </c>
    </row>
    <row r="432" customFormat="false" ht="21.75" hidden="false" customHeight="true" outlineLevel="0" collapsed="false">
      <c r="B432" s="6" t="s">
        <v>185</v>
      </c>
      <c r="C432" s="6" t="s">
        <v>180</v>
      </c>
      <c r="D432" s="6" t="s">
        <v>3494</v>
      </c>
      <c r="E432" s="10" t="n">
        <v>1</v>
      </c>
      <c r="F432" s="6" t="s">
        <v>24</v>
      </c>
      <c r="G432" s="7" t="s">
        <v>3495</v>
      </c>
      <c r="H432" s="7" t="s">
        <v>3496</v>
      </c>
      <c r="I432" s="7" t="s">
        <v>3497</v>
      </c>
      <c r="J432" s="7" t="s">
        <v>3498</v>
      </c>
      <c r="K432" s="7"/>
      <c r="L432" s="7"/>
      <c r="M432" s="7" t="s">
        <v>3499</v>
      </c>
      <c r="N432" s="7" t="s">
        <v>236</v>
      </c>
      <c r="O432" s="6" t="s">
        <v>3500</v>
      </c>
    </row>
    <row r="433" customFormat="false" ht="21.75" hidden="false" customHeight="true" outlineLevel="0" collapsed="false">
      <c r="B433" s="4" t="s">
        <v>185</v>
      </c>
      <c r="C433" s="4" t="s">
        <v>180</v>
      </c>
      <c r="D433" s="4" t="s">
        <v>3501</v>
      </c>
      <c r="E433" s="9" t="n">
        <v>2</v>
      </c>
      <c r="F433" s="4" t="s">
        <v>26</v>
      </c>
      <c r="G433" s="5" t="s">
        <v>3502</v>
      </c>
      <c r="H433" s="5" t="s">
        <v>3503</v>
      </c>
      <c r="I433" s="5" t="s">
        <v>3504</v>
      </c>
      <c r="J433" s="5" t="s">
        <v>3505</v>
      </c>
      <c r="K433" s="5" t="s">
        <v>3506</v>
      </c>
      <c r="L433" s="5" t="s">
        <v>244</v>
      </c>
      <c r="M433" s="5" t="s">
        <v>3507</v>
      </c>
      <c r="N433" s="5" t="s">
        <v>236</v>
      </c>
      <c r="O433" s="4" t="s">
        <v>3508</v>
      </c>
    </row>
    <row r="434" customFormat="false" ht="21.75" hidden="false" customHeight="true" outlineLevel="0" collapsed="false">
      <c r="B434" s="6" t="s">
        <v>185</v>
      </c>
      <c r="C434" s="6" t="s">
        <v>180</v>
      </c>
      <c r="D434" s="6" t="s">
        <v>3509</v>
      </c>
      <c r="E434" s="10" t="n">
        <v>4</v>
      </c>
      <c r="F434" s="6" t="s">
        <v>30</v>
      </c>
      <c r="G434" s="7" t="s">
        <v>3510</v>
      </c>
      <c r="H434" s="7" t="s">
        <v>3511</v>
      </c>
      <c r="I434" s="7" t="s">
        <v>3512</v>
      </c>
      <c r="J434" s="7" t="s">
        <v>3513</v>
      </c>
      <c r="K434" s="7"/>
      <c r="L434" s="7"/>
      <c r="M434" s="7" t="s">
        <v>3514</v>
      </c>
      <c r="N434" s="7" t="s">
        <v>236</v>
      </c>
      <c r="O434" s="6" t="s">
        <v>3515</v>
      </c>
    </row>
    <row r="435" customFormat="false" ht="21.75" hidden="false" customHeight="true" outlineLevel="0" collapsed="false">
      <c r="B435" s="4" t="s">
        <v>185</v>
      </c>
      <c r="C435" s="4" t="s">
        <v>180</v>
      </c>
      <c r="D435" s="4" t="s">
        <v>3516</v>
      </c>
      <c r="E435" s="9" t="n">
        <v>1</v>
      </c>
      <c r="F435" s="4" t="s">
        <v>24</v>
      </c>
      <c r="G435" s="5" t="s">
        <v>3517</v>
      </c>
      <c r="H435" s="5" t="s">
        <v>3518</v>
      </c>
      <c r="I435" s="5" t="s">
        <v>3519</v>
      </c>
      <c r="J435" s="5" t="s">
        <v>3520</v>
      </c>
      <c r="K435" s="5"/>
      <c r="L435" s="5"/>
      <c r="M435" s="5" t="s">
        <v>3521</v>
      </c>
      <c r="N435" s="5" t="s">
        <v>236</v>
      </c>
      <c r="O435" s="4" t="s">
        <v>3522</v>
      </c>
    </row>
    <row r="436" customFormat="false" ht="21.75" hidden="false" customHeight="true" outlineLevel="0" collapsed="false">
      <c r="B436" s="6" t="s">
        <v>185</v>
      </c>
      <c r="C436" s="6" t="s">
        <v>180</v>
      </c>
      <c r="D436" s="6" t="s">
        <v>3523</v>
      </c>
      <c r="E436" s="10" t="n">
        <v>1</v>
      </c>
      <c r="F436" s="6" t="s">
        <v>24</v>
      </c>
      <c r="G436" s="7" t="s">
        <v>3524</v>
      </c>
      <c r="H436" s="7" t="s">
        <v>3525</v>
      </c>
      <c r="I436" s="7" t="s">
        <v>3526</v>
      </c>
      <c r="J436" s="7" t="s">
        <v>3527</v>
      </c>
      <c r="K436" s="7" t="s">
        <v>3528</v>
      </c>
      <c r="L436" s="7" t="s">
        <v>234</v>
      </c>
      <c r="M436" s="7" t="s">
        <v>3529</v>
      </c>
      <c r="N436" s="7" t="s">
        <v>236</v>
      </c>
      <c r="O436" s="6" t="s">
        <v>3530</v>
      </c>
    </row>
    <row r="437" customFormat="false" ht="21.75" hidden="false" customHeight="true" outlineLevel="0" collapsed="false">
      <c r="B437" s="4" t="s">
        <v>185</v>
      </c>
      <c r="C437" s="4" t="s">
        <v>180</v>
      </c>
      <c r="D437" s="4" t="s">
        <v>3531</v>
      </c>
      <c r="E437" s="9" t="n">
        <v>2</v>
      </c>
      <c r="F437" s="4" t="s">
        <v>26</v>
      </c>
      <c r="G437" s="5" t="s">
        <v>3532</v>
      </c>
      <c r="H437" s="5" t="s">
        <v>3533</v>
      </c>
      <c r="I437" s="5" t="s">
        <v>3534</v>
      </c>
      <c r="J437" s="5" t="s">
        <v>3535</v>
      </c>
      <c r="K437" s="5" t="s">
        <v>3536</v>
      </c>
      <c r="L437" s="5" t="s">
        <v>389</v>
      </c>
      <c r="M437" s="5" t="s">
        <v>3537</v>
      </c>
      <c r="N437" s="5" t="s">
        <v>236</v>
      </c>
      <c r="O437" s="4" t="s">
        <v>3538</v>
      </c>
    </row>
    <row r="438" customFormat="false" ht="21.75" hidden="false" customHeight="true" outlineLevel="0" collapsed="false">
      <c r="B438" s="6" t="s">
        <v>185</v>
      </c>
      <c r="C438" s="6" t="s">
        <v>180</v>
      </c>
      <c r="D438" s="6" t="s">
        <v>3539</v>
      </c>
      <c r="E438" s="10" t="n">
        <v>4</v>
      </c>
      <c r="F438" s="6" t="s">
        <v>30</v>
      </c>
      <c r="G438" s="7" t="s">
        <v>3540</v>
      </c>
      <c r="H438" s="7" t="s">
        <v>3541</v>
      </c>
      <c r="I438" s="7" t="s">
        <v>3542</v>
      </c>
      <c r="J438" s="7" t="s">
        <v>3543</v>
      </c>
      <c r="K438" s="7" t="s">
        <v>3544</v>
      </c>
      <c r="L438" s="7" t="s">
        <v>335</v>
      </c>
      <c r="M438" s="7" t="s">
        <v>3545</v>
      </c>
      <c r="N438" s="7" t="s">
        <v>236</v>
      </c>
      <c r="O438" s="6" t="s">
        <v>3546</v>
      </c>
    </row>
    <row r="439" customFormat="false" ht="21.75" hidden="false" customHeight="true" outlineLevel="0" collapsed="false">
      <c r="B439" s="4" t="s">
        <v>185</v>
      </c>
      <c r="C439" s="4" t="s">
        <v>180</v>
      </c>
      <c r="D439" s="4" t="s">
        <v>3547</v>
      </c>
      <c r="E439" s="9" t="n">
        <v>4</v>
      </c>
      <c r="F439" s="4" t="s">
        <v>30</v>
      </c>
      <c r="G439" s="5" t="s">
        <v>3548</v>
      </c>
      <c r="H439" s="5" t="s">
        <v>3549</v>
      </c>
      <c r="I439" s="5" t="s">
        <v>3550</v>
      </c>
      <c r="J439" s="5" t="s">
        <v>3551</v>
      </c>
      <c r="K439" s="5"/>
      <c r="L439" s="5"/>
      <c r="M439" s="5" t="s">
        <v>3552</v>
      </c>
      <c r="N439" s="5" t="s">
        <v>236</v>
      </c>
      <c r="O439" s="4" t="s">
        <v>3553</v>
      </c>
    </row>
    <row r="440" customFormat="false" ht="21.75" hidden="false" customHeight="true" outlineLevel="0" collapsed="false">
      <c r="B440" s="6" t="s">
        <v>185</v>
      </c>
      <c r="C440" s="6" t="s">
        <v>180</v>
      </c>
      <c r="D440" s="6" t="s">
        <v>3554</v>
      </c>
      <c r="E440" s="10" t="n">
        <v>4</v>
      </c>
      <c r="F440" s="6" t="s">
        <v>30</v>
      </c>
      <c r="G440" s="7" t="s">
        <v>3555</v>
      </c>
      <c r="H440" s="7" t="s">
        <v>3556</v>
      </c>
      <c r="I440" s="7" t="s">
        <v>3557</v>
      </c>
      <c r="J440" s="7" t="s">
        <v>3558</v>
      </c>
      <c r="K440" s="7"/>
      <c r="L440" s="7"/>
      <c r="M440" s="7" t="s">
        <v>3559</v>
      </c>
      <c r="N440" s="7" t="s">
        <v>236</v>
      </c>
      <c r="O440" s="6" t="s">
        <v>3560</v>
      </c>
    </row>
    <row r="441" customFormat="false" ht="21.75" hidden="false" customHeight="true" outlineLevel="0" collapsed="false">
      <c r="B441" s="4" t="s">
        <v>185</v>
      </c>
      <c r="C441" s="4" t="s">
        <v>180</v>
      </c>
      <c r="D441" s="4" t="s">
        <v>3561</v>
      </c>
      <c r="E441" s="9" t="n">
        <v>0</v>
      </c>
      <c r="F441" s="4" t="s">
        <v>22</v>
      </c>
      <c r="G441" s="5" t="s">
        <v>3562</v>
      </c>
      <c r="H441" s="5" t="s">
        <v>3563</v>
      </c>
      <c r="I441" s="5" t="s">
        <v>3564</v>
      </c>
      <c r="J441" s="5" t="s">
        <v>3565</v>
      </c>
      <c r="K441" s="5"/>
      <c r="L441" s="5"/>
      <c r="M441" s="5" t="s">
        <v>3566</v>
      </c>
      <c r="N441" s="5" t="s">
        <v>236</v>
      </c>
      <c r="O441" s="4" t="s">
        <v>3567</v>
      </c>
    </row>
    <row r="442" customFormat="false" ht="21.75" hidden="false" customHeight="true" outlineLevel="0" collapsed="false">
      <c r="B442" s="6" t="s">
        <v>190</v>
      </c>
      <c r="C442" s="6" t="s">
        <v>180</v>
      </c>
      <c r="D442" s="6" t="s">
        <v>3568</v>
      </c>
      <c r="E442" s="10" t="n">
        <v>0</v>
      </c>
      <c r="F442" s="6" t="s">
        <v>22</v>
      </c>
      <c r="G442" s="7" t="s">
        <v>3569</v>
      </c>
      <c r="H442" s="7" t="s">
        <v>3570</v>
      </c>
      <c r="I442" s="7" t="s">
        <v>3571</v>
      </c>
      <c r="J442" s="7" t="s">
        <v>3572</v>
      </c>
      <c r="K442" s="7" t="s">
        <v>3573</v>
      </c>
      <c r="L442" s="7" t="s">
        <v>260</v>
      </c>
      <c r="M442" s="7" t="s">
        <v>3574</v>
      </c>
      <c r="N442" s="7" t="s">
        <v>236</v>
      </c>
      <c r="O442" s="6" t="s">
        <v>3575</v>
      </c>
    </row>
    <row r="443" customFormat="false" ht="21.75" hidden="false" customHeight="true" outlineLevel="0" collapsed="false">
      <c r="B443" s="4" t="s">
        <v>190</v>
      </c>
      <c r="C443" s="4" t="s">
        <v>180</v>
      </c>
      <c r="D443" s="4" t="s">
        <v>3576</v>
      </c>
      <c r="E443" s="9" t="n">
        <v>0</v>
      </c>
      <c r="F443" s="4" t="s">
        <v>22</v>
      </c>
      <c r="G443" s="5" t="s">
        <v>3577</v>
      </c>
      <c r="H443" s="5" t="s">
        <v>3578</v>
      </c>
      <c r="I443" s="5" t="s">
        <v>3579</v>
      </c>
      <c r="J443" s="5" t="s">
        <v>3580</v>
      </c>
      <c r="K443" s="5"/>
      <c r="L443" s="5"/>
      <c r="M443" s="5" t="s">
        <v>3581</v>
      </c>
      <c r="N443" s="5" t="s">
        <v>236</v>
      </c>
      <c r="O443" s="4" t="s">
        <v>3582</v>
      </c>
    </row>
    <row r="444" customFormat="false" ht="21.75" hidden="false" customHeight="true" outlineLevel="0" collapsed="false">
      <c r="B444" s="6" t="s">
        <v>190</v>
      </c>
      <c r="C444" s="6" t="s">
        <v>180</v>
      </c>
      <c r="D444" s="6" t="s">
        <v>3583</v>
      </c>
      <c r="E444" s="10" t="n">
        <v>1</v>
      </c>
      <c r="F444" s="6" t="s">
        <v>24</v>
      </c>
      <c r="G444" s="7" t="s">
        <v>3584</v>
      </c>
      <c r="H444" s="7" t="s">
        <v>3585</v>
      </c>
      <c r="I444" s="7" t="s">
        <v>3586</v>
      </c>
      <c r="J444" s="7" t="s">
        <v>3587</v>
      </c>
      <c r="K444" s="7"/>
      <c r="L444" s="7"/>
      <c r="M444" s="7" t="s">
        <v>3588</v>
      </c>
      <c r="N444" s="7" t="s">
        <v>236</v>
      </c>
      <c r="O444" s="6" t="s">
        <v>3589</v>
      </c>
    </row>
    <row r="445" customFormat="false" ht="21.75" hidden="false" customHeight="true" outlineLevel="0" collapsed="false">
      <c r="B445" s="4" t="s">
        <v>190</v>
      </c>
      <c r="C445" s="4" t="s">
        <v>180</v>
      </c>
      <c r="D445" s="4" t="s">
        <v>3590</v>
      </c>
      <c r="E445" s="9" t="n">
        <v>2</v>
      </c>
      <c r="F445" s="4" t="s">
        <v>26</v>
      </c>
      <c r="G445" s="5" t="s">
        <v>3591</v>
      </c>
      <c r="H445" s="5" t="s">
        <v>3592</v>
      </c>
      <c r="I445" s="5" t="s">
        <v>3593</v>
      </c>
      <c r="J445" s="5" t="s">
        <v>3594</v>
      </c>
      <c r="K445" s="5" t="s">
        <v>3595</v>
      </c>
      <c r="L445" s="5" t="s">
        <v>291</v>
      </c>
      <c r="M445" s="5" t="s">
        <v>3596</v>
      </c>
      <c r="N445" s="5" t="s">
        <v>236</v>
      </c>
      <c r="O445" s="4" t="s">
        <v>3597</v>
      </c>
    </row>
    <row r="446" customFormat="false" ht="21.75" hidden="false" customHeight="true" outlineLevel="0" collapsed="false">
      <c r="B446" s="6" t="s">
        <v>190</v>
      </c>
      <c r="C446" s="6" t="s">
        <v>180</v>
      </c>
      <c r="D446" s="6" t="s">
        <v>3598</v>
      </c>
      <c r="E446" s="10" t="n">
        <v>1</v>
      </c>
      <c r="F446" s="6" t="s">
        <v>24</v>
      </c>
      <c r="G446" s="7" t="s">
        <v>3599</v>
      </c>
      <c r="H446" s="7" t="s">
        <v>3600</v>
      </c>
      <c r="I446" s="7" t="s">
        <v>3601</v>
      </c>
      <c r="J446" s="7" t="s">
        <v>3602</v>
      </c>
      <c r="K446" s="7"/>
      <c r="L446" s="7"/>
      <c r="M446" s="7" t="s">
        <v>3603</v>
      </c>
      <c r="N446" s="7" t="s">
        <v>236</v>
      </c>
      <c r="O446" s="6" t="s">
        <v>3604</v>
      </c>
    </row>
    <row r="447" customFormat="false" ht="21.75" hidden="false" customHeight="true" outlineLevel="0" collapsed="false">
      <c r="B447" s="4" t="s">
        <v>190</v>
      </c>
      <c r="C447" s="4" t="s">
        <v>180</v>
      </c>
      <c r="D447" s="4" t="s">
        <v>3605</v>
      </c>
      <c r="E447" s="9" t="n">
        <v>2</v>
      </c>
      <c r="F447" s="4" t="s">
        <v>26</v>
      </c>
      <c r="G447" s="5" t="s">
        <v>3606</v>
      </c>
      <c r="H447" s="5" t="s">
        <v>3607</v>
      </c>
      <c r="I447" s="5" t="s">
        <v>3608</v>
      </c>
      <c r="J447" s="5" t="s">
        <v>3609</v>
      </c>
      <c r="K447" s="5" t="s">
        <v>3610</v>
      </c>
      <c r="L447" s="5" t="s">
        <v>389</v>
      </c>
      <c r="M447" s="5" t="s">
        <v>3611</v>
      </c>
      <c r="N447" s="5" t="s">
        <v>236</v>
      </c>
      <c r="O447" s="4" t="s">
        <v>3612</v>
      </c>
    </row>
    <row r="448" customFormat="false" ht="21.75" hidden="false" customHeight="true" outlineLevel="0" collapsed="false">
      <c r="B448" s="6" t="s">
        <v>190</v>
      </c>
      <c r="C448" s="6" t="s">
        <v>180</v>
      </c>
      <c r="D448" s="6" t="s">
        <v>3613</v>
      </c>
      <c r="E448" s="10" t="n">
        <v>2</v>
      </c>
      <c r="F448" s="6" t="s">
        <v>26</v>
      </c>
      <c r="G448" s="7" t="s">
        <v>3614</v>
      </c>
      <c r="H448" s="7" t="s">
        <v>3615</v>
      </c>
      <c r="I448" s="7" t="s">
        <v>3616</v>
      </c>
      <c r="J448" s="7" t="s">
        <v>3617</v>
      </c>
      <c r="K448" s="7" t="s">
        <v>3618</v>
      </c>
      <c r="L448" s="7" t="s">
        <v>244</v>
      </c>
      <c r="M448" s="7" t="s">
        <v>3619</v>
      </c>
      <c r="N448" s="7" t="s">
        <v>236</v>
      </c>
      <c r="O448" s="6" t="s">
        <v>3620</v>
      </c>
    </row>
    <row r="449" customFormat="false" ht="21.75" hidden="false" customHeight="true" outlineLevel="0" collapsed="false">
      <c r="B449" s="4" t="s">
        <v>190</v>
      </c>
      <c r="C449" s="4" t="s">
        <v>180</v>
      </c>
      <c r="D449" s="4" t="s">
        <v>3621</v>
      </c>
      <c r="E449" s="9" t="n">
        <v>1</v>
      </c>
      <c r="F449" s="4" t="s">
        <v>24</v>
      </c>
      <c r="G449" s="5" t="s">
        <v>3622</v>
      </c>
      <c r="H449" s="5" t="s">
        <v>3623</v>
      </c>
      <c r="I449" s="5" t="s">
        <v>3624</v>
      </c>
      <c r="J449" s="5" t="s">
        <v>3625</v>
      </c>
      <c r="K449" s="5" t="s">
        <v>3626</v>
      </c>
      <c r="L449" s="5" t="s">
        <v>335</v>
      </c>
      <c r="M449" s="5" t="s">
        <v>3627</v>
      </c>
      <c r="N449" s="5" t="s">
        <v>236</v>
      </c>
      <c r="O449" s="4" t="s">
        <v>3628</v>
      </c>
    </row>
    <row r="450" customFormat="false" ht="21.75" hidden="false" customHeight="true" outlineLevel="0" collapsed="false">
      <c r="B450" s="6" t="s">
        <v>190</v>
      </c>
      <c r="C450" s="6" t="s">
        <v>180</v>
      </c>
      <c r="D450" s="6" t="s">
        <v>3629</v>
      </c>
      <c r="E450" s="10" t="n">
        <v>1</v>
      </c>
      <c r="F450" s="6" t="s">
        <v>24</v>
      </c>
      <c r="G450" s="7" t="s">
        <v>3630</v>
      </c>
      <c r="H450" s="7" t="s">
        <v>3631</v>
      </c>
      <c r="I450" s="7" t="s">
        <v>3632</v>
      </c>
      <c r="J450" s="7" t="s">
        <v>3633</v>
      </c>
      <c r="K450" s="7" t="s">
        <v>3634</v>
      </c>
      <c r="L450" s="7" t="s">
        <v>291</v>
      </c>
      <c r="M450" s="7" t="s">
        <v>3635</v>
      </c>
      <c r="N450" s="7" t="s">
        <v>236</v>
      </c>
      <c r="O450" s="6" t="s">
        <v>3636</v>
      </c>
    </row>
    <row r="451" customFormat="false" ht="21.75" hidden="false" customHeight="true" outlineLevel="0" collapsed="false">
      <c r="B451" s="4" t="s">
        <v>190</v>
      </c>
      <c r="C451" s="4" t="s">
        <v>180</v>
      </c>
      <c r="D451" s="4" t="s">
        <v>3637</v>
      </c>
      <c r="E451" s="9" t="n">
        <v>1</v>
      </c>
      <c r="F451" s="4" t="s">
        <v>24</v>
      </c>
      <c r="G451" s="5" t="s">
        <v>3638</v>
      </c>
      <c r="H451" s="5" t="s">
        <v>3639</v>
      </c>
      <c r="I451" s="5" t="s">
        <v>3640</v>
      </c>
      <c r="J451" s="5" t="s">
        <v>3641</v>
      </c>
      <c r="K451" s="5" t="s">
        <v>3642</v>
      </c>
      <c r="L451" s="5" t="s">
        <v>244</v>
      </c>
      <c r="M451" s="5" t="s">
        <v>3643</v>
      </c>
      <c r="N451" s="5" t="s">
        <v>236</v>
      </c>
      <c r="O451" s="4" t="s">
        <v>3644</v>
      </c>
    </row>
    <row r="452" customFormat="false" ht="21.75" hidden="false" customHeight="true" outlineLevel="0" collapsed="false">
      <c r="B452" s="6" t="s">
        <v>190</v>
      </c>
      <c r="C452" s="6" t="s">
        <v>180</v>
      </c>
      <c r="D452" s="6" t="s">
        <v>3645</v>
      </c>
      <c r="E452" s="10" t="n">
        <v>4</v>
      </c>
      <c r="F452" s="6" t="s">
        <v>30</v>
      </c>
      <c r="G452" s="7" t="s">
        <v>3646</v>
      </c>
      <c r="H452" s="7" t="s">
        <v>3647</v>
      </c>
      <c r="I452" s="7" t="s">
        <v>3648</v>
      </c>
      <c r="J452" s="7" t="s">
        <v>3649</v>
      </c>
      <c r="K452" s="7"/>
      <c r="L452" s="7"/>
      <c r="M452" s="7" t="s">
        <v>3650</v>
      </c>
      <c r="N452" s="7" t="s">
        <v>236</v>
      </c>
      <c r="O452" s="6" t="s">
        <v>3651</v>
      </c>
    </row>
    <row r="453" customFormat="false" ht="21.75" hidden="false" customHeight="true" outlineLevel="0" collapsed="false">
      <c r="B453" s="4" t="s">
        <v>190</v>
      </c>
      <c r="C453" s="4" t="s">
        <v>180</v>
      </c>
      <c r="D453" s="4" t="s">
        <v>3652</v>
      </c>
      <c r="E453" s="9" t="n">
        <v>4</v>
      </c>
      <c r="F453" s="4" t="s">
        <v>30</v>
      </c>
      <c r="G453" s="5" t="s">
        <v>3653</v>
      </c>
      <c r="H453" s="5" t="s">
        <v>3654</v>
      </c>
      <c r="I453" s="5" t="s">
        <v>3655</v>
      </c>
      <c r="J453" s="5" t="s">
        <v>3656</v>
      </c>
      <c r="K453" s="5" t="s">
        <v>3657</v>
      </c>
      <c r="L453" s="5" t="s">
        <v>335</v>
      </c>
      <c r="M453" s="5" t="s">
        <v>3658</v>
      </c>
      <c r="N453" s="5" t="s">
        <v>236</v>
      </c>
      <c r="O453" s="4" t="s">
        <v>3659</v>
      </c>
    </row>
    <row r="454" customFormat="false" ht="21.75" hidden="false" customHeight="true" outlineLevel="0" collapsed="false">
      <c r="B454" s="6" t="s">
        <v>190</v>
      </c>
      <c r="C454" s="6" t="s">
        <v>180</v>
      </c>
      <c r="D454" s="6" t="s">
        <v>3660</v>
      </c>
      <c r="E454" s="10" t="n">
        <v>2</v>
      </c>
      <c r="F454" s="6" t="s">
        <v>26</v>
      </c>
      <c r="G454" s="7" t="s">
        <v>3661</v>
      </c>
      <c r="H454" s="7" t="s">
        <v>3662</v>
      </c>
      <c r="I454" s="7" t="s">
        <v>3663</v>
      </c>
      <c r="J454" s="7" t="s">
        <v>3664</v>
      </c>
      <c r="K454" s="7"/>
      <c r="L454" s="7"/>
      <c r="M454" s="7" t="s">
        <v>3665</v>
      </c>
      <c r="N454" s="7" t="s">
        <v>236</v>
      </c>
      <c r="O454" s="6" t="s">
        <v>3666</v>
      </c>
    </row>
    <row r="455" customFormat="false" ht="21.75" hidden="false" customHeight="true" outlineLevel="0" collapsed="false">
      <c r="B455" s="4" t="s">
        <v>190</v>
      </c>
      <c r="C455" s="4" t="s">
        <v>180</v>
      </c>
      <c r="D455" s="4" t="s">
        <v>3667</v>
      </c>
      <c r="E455" s="9" t="n">
        <v>2</v>
      </c>
      <c r="F455" s="4" t="s">
        <v>26</v>
      </c>
      <c r="G455" s="5" t="s">
        <v>3668</v>
      </c>
      <c r="H455" s="5" t="s">
        <v>3669</v>
      </c>
      <c r="I455" s="5" t="s">
        <v>3670</v>
      </c>
      <c r="J455" s="5" t="s">
        <v>3671</v>
      </c>
      <c r="K455" s="5" t="s">
        <v>3672</v>
      </c>
      <c r="L455" s="5" t="s">
        <v>389</v>
      </c>
      <c r="M455" s="5" t="s">
        <v>3673</v>
      </c>
      <c r="N455" s="5" t="s">
        <v>236</v>
      </c>
      <c r="O455" s="4" t="s">
        <v>3674</v>
      </c>
    </row>
    <row r="456" customFormat="false" ht="21.75" hidden="false" customHeight="true" outlineLevel="0" collapsed="false">
      <c r="B456" s="6" t="s">
        <v>190</v>
      </c>
      <c r="C456" s="6" t="s">
        <v>180</v>
      </c>
      <c r="D456" s="6" t="s">
        <v>3675</v>
      </c>
      <c r="E456" s="10" t="n">
        <v>3</v>
      </c>
      <c r="F456" s="6" t="s">
        <v>28</v>
      </c>
      <c r="G456" s="7" t="s">
        <v>3676</v>
      </c>
      <c r="H456" s="7" t="s">
        <v>3677</v>
      </c>
      <c r="I456" s="7" t="s">
        <v>3678</v>
      </c>
      <c r="J456" s="7" t="s">
        <v>3679</v>
      </c>
      <c r="K456" s="7"/>
      <c r="L456" s="7"/>
      <c r="M456" s="7" t="s">
        <v>3680</v>
      </c>
      <c r="N456" s="7" t="s">
        <v>236</v>
      </c>
      <c r="O456" s="6" t="s">
        <v>3681</v>
      </c>
    </row>
    <row r="457" customFormat="false" ht="21.75" hidden="false" customHeight="true" outlineLevel="0" collapsed="false">
      <c r="B457" s="4" t="s">
        <v>190</v>
      </c>
      <c r="C457" s="4" t="s">
        <v>180</v>
      </c>
      <c r="D457" s="4" t="s">
        <v>3682</v>
      </c>
      <c r="E457" s="9" t="n">
        <v>3</v>
      </c>
      <c r="F457" s="4" t="s">
        <v>28</v>
      </c>
      <c r="G457" s="5" t="s">
        <v>3683</v>
      </c>
      <c r="H457" s="5" t="s">
        <v>3684</v>
      </c>
      <c r="I457" s="5" t="s">
        <v>3685</v>
      </c>
      <c r="J457" s="5" t="s">
        <v>3686</v>
      </c>
      <c r="K457" s="5"/>
      <c r="L457" s="5"/>
      <c r="M457" s="5" t="s">
        <v>3687</v>
      </c>
      <c r="N457" s="5" t="s">
        <v>236</v>
      </c>
      <c r="O457" s="4" t="s">
        <v>3688</v>
      </c>
    </row>
    <row r="458" customFormat="false" ht="21.75" hidden="false" customHeight="true" outlineLevel="0" collapsed="false">
      <c r="B458" s="6" t="s">
        <v>195</v>
      </c>
      <c r="C458" s="6" t="s">
        <v>180</v>
      </c>
      <c r="D458" s="6" t="s">
        <v>3689</v>
      </c>
      <c r="E458" s="10" t="n">
        <v>0</v>
      </c>
      <c r="F458" s="6" t="s">
        <v>22</v>
      </c>
      <c r="G458" s="7" t="s">
        <v>3690</v>
      </c>
      <c r="H458" s="7" t="s">
        <v>3691</v>
      </c>
      <c r="I458" s="7" t="s">
        <v>3692</v>
      </c>
      <c r="J458" s="7" t="s">
        <v>3693</v>
      </c>
      <c r="K458" s="7"/>
      <c r="L458" s="7"/>
      <c r="M458" s="7" t="s">
        <v>3694</v>
      </c>
      <c r="N458" s="7" t="s">
        <v>236</v>
      </c>
      <c r="O458" s="6" t="s">
        <v>3695</v>
      </c>
    </row>
    <row r="459" customFormat="false" ht="21.75" hidden="false" customHeight="true" outlineLevel="0" collapsed="false">
      <c r="B459" s="4" t="s">
        <v>195</v>
      </c>
      <c r="C459" s="4" t="s">
        <v>180</v>
      </c>
      <c r="D459" s="4" t="s">
        <v>3696</v>
      </c>
      <c r="E459" s="9" t="n">
        <v>1</v>
      </c>
      <c r="F459" s="4" t="s">
        <v>24</v>
      </c>
      <c r="G459" s="5" t="s">
        <v>3697</v>
      </c>
      <c r="H459" s="5" t="s">
        <v>3698</v>
      </c>
      <c r="I459" s="5" t="s">
        <v>3699</v>
      </c>
      <c r="J459" s="5" t="s">
        <v>3700</v>
      </c>
      <c r="K459" s="5"/>
      <c r="L459" s="5"/>
      <c r="M459" s="5" t="s">
        <v>3701</v>
      </c>
      <c r="N459" s="5" t="s">
        <v>236</v>
      </c>
      <c r="O459" s="4" t="s">
        <v>3702</v>
      </c>
    </row>
    <row r="460" customFormat="false" ht="21.75" hidden="false" customHeight="true" outlineLevel="0" collapsed="false">
      <c r="B460" s="6" t="s">
        <v>195</v>
      </c>
      <c r="C460" s="6" t="s">
        <v>180</v>
      </c>
      <c r="D460" s="6" t="s">
        <v>3703</v>
      </c>
      <c r="E460" s="10" t="n">
        <v>2</v>
      </c>
      <c r="F460" s="6" t="s">
        <v>26</v>
      </c>
      <c r="G460" s="7" t="s">
        <v>3704</v>
      </c>
      <c r="H460" s="7" t="s">
        <v>3705</v>
      </c>
      <c r="I460" s="7" t="s">
        <v>3706</v>
      </c>
      <c r="J460" s="7" t="s">
        <v>3707</v>
      </c>
      <c r="K460" s="7" t="s">
        <v>3708</v>
      </c>
      <c r="L460" s="7" t="s">
        <v>389</v>
      </c>
      <c r="M460" s="7" t="s">
        <v>3709</v>
      </c>
      <c r="N460" s="7" t="s">
        <v>236</v>
      </c>
      <c r="O460" s="6" t="s">
        <v>3710</v>
      </c>
    </row>
    <row r="461" customFormat="false" ht="21.75" hidden="false" customHeight="true" outlineLevel="0" collapsed="false">
      <c r="B461" s="4" t="s">
        <v>195</v>
      </c>
      <c r="C461" s="4" t="s">
        <v>180</v>
      </c>
      <c r="D461" s="4" t="s">
        <v>3711</v>
      </c>
      <c r="E461" s="9" t="n">
        <v>1</v>
      </c>
      <c r="F461" s="4" t="s">
        <v>24</v>
      </c>
      <c r="G461" s="5" t="s">
        <v>3712</v>
      </c>
      <c r="H461" s="5" t="s">
        <v>3713</v>
      </c>
      <c r="I461" s="5" t="s">
        <v>3714</v>
      </c>
      <c r="J461" s="5" t="s">
        <v>3715</v>
      </c>
      <c r="K461" s="5"/>
      <c r="L461" s="5"/>
      <c r="M461" s="5" t="s">
        <v>3716</v>
      </c>
      <c r="N461" s="5" t="s">
        <v>236</v>
      </c>
      <c r="O461" s="4" t="s">
        <v>3717</v>
      </c>
    </row>
    <row r="462" customFormat="false" ht="21.75" hidden="false" customHeight="true" outlineLevel="0" collapsed="false">
      <c r="B462" s="6" t="s">
        <v>195</v>
      </c>
      <c r="C462" s="6" t="s">
        <v>180</v>
      </c>
      <c r="D462" s="6" t="s">
        <v>3718</v>
      </c>
      <c r="E462" s="10" t="n">
        <v>2</v>
      </c>
      <c r="F462" s="6" t="s">
        <v>26</v>
      </c>
      <c r="G462" s="7" t="s">
        <v>3719</v>
      </c>
      <c r="H462" s="7" t="s">
        <v>3720</v>
      </c>
      <c r="I462" s="7" t="s">
        <v>3721</v>
      </c>
      <c r="J462" s="7" t="s">
        <v>3722</v>
      </c>
      <c r="K462" s="7" t="s">
        <v>3723</v>
      </c>
      <c r="L462" s="7" t="s">
        <v>291</v>
      </c>
      <c r="M462" s="7" t="s">
        <v>3724</v>
      </c>
      <c r="N462" s="7" t="s">
        <v>236</v>
      </c>
      <c r="O462" s="6" t="s">
        <v>3725</v>
      </c>
    </row>
    <row r="463" customFormat="false" ht="21.75" hidden="false" customHeight="true" outlineLevel="0" collapsed="false">
      <c r="B463" s="4" t="s">
        <v>195</v>
      </c>
      <c r="C463" s="4" t="s">
        <v>180</v>
      </c>
      <c r="D463" s="4" t="s">
        <v>3726</v>
      </c>
      <c r="E463" s="9" t="n">
        <v>0</v>
      </c>
      <c r="F463" s="4" t="s">
        <v>22</v>
      </c>
      <c r="G463" s="5" t="s">
        <v>3727</v>
      </c>
      <c r="H463" s="5" t="s">
        <v>3728</v>
      </c>
      <c r="I463" s="5" t="s">
        <v>3729</v>
      </c>
      <c r="J463" s="5" t="s">
        <v>3730</v>
      </c>
      <c r="K463" s="5"/>
      <c r="L463" s="5"/>
      <c r="M463" s="5" t="s">
        <v>3731</v>
      </c>
      <c r="N463" s="5" t="s">
        <v>236</v>
      </c>
      <c r="O463" s="4" t="s">
        <v>3732</v>
      </c>
    </row>
    <row r="464" customFormat="false" ht="21.75" hidden="false" customHeight="true" outlineLevel="0" collapsed="false">
      <c r="B464" s="6" t="s">
        <v>195</v>
      </c>
      <c r="C464" s="6" t="s">
        <v>180</v>
      </c>
      <c r="D464" s="6" t="s">
        <v>3733</v>
      </c>
      <c r="E464" s="10" t="n">
        <v>1</v>
      </c>
      <c r="F464" s="6" t="s">
        <v>24</v>
      </c>
      <c r="G464" s="7" t="s">
        <v>3734</v>
      </c>
      <c r="H464" s="7" t="s">
        <v>3735</v>
      </c>
      <c r="I464" s="7" t="s">
        <v>3736</v>
      </c>
      <c r="J464" s="7" t="s">
        <v>3737</v>
      </c>
      <c r="K464" s="7"/>
      <c r="L464" s="7"/>
      <c r="M464" s="7" t="s">
        <v>3738</v>
      </c>
      <c r="N464" s="7" t="s">
        <v>236</v>
      </c>
      <c r="O464" s="6" t="s">
        <v>3739</v>
      </c>
    </row>
    <row r="465" customFormat="false" ht="21.75" hidden="false" customHeight="true" outlineLevel="0" collapsed="false">
      <c r="B465" s="4" t="s">
        <v>195</v>
      </c>
      <c r="C465" s="4" t="s">
        <v>180</v>
      </c>
      <c r="D465" s="4" t="s">
        <v>3740</v>
      </c>
      <c r="E465" s="9" t="n">
        <v>2</v>
      </c>
      <c r="F465" s="4" t="s">
        <v>26</v>
      </c>
      <c r="G465" s="5" t="s">
        <v>3741</v>
      </c>
      <c r="H465" s="5" t="s">
        <v>3742</v>
      </c>
      <c r="I465" s="5" t="s">
        <v>3743</v>
      </c>
      <c r="J465" s="5" t="s">
        <v>3744</v>
      </c>
      <c r="K465" s="5" t="s">
        <v>3745</v>
      </c>
      <c r="L465" s="5" t="s">
        <v>234</v>
      </c>
      <c r="M465" s="5" t="s">
        <v>3746</v>
      </c>
      <c r="N465" s="5" t="s">
        <v>236</v>
      </c>
      <c r="O465" s="4" t="s">
        <v>3747</v>
      </c>
    </row>
    <row r="466" customFormat="false" ht="21.75" hidden="false" customHeight="true" outlineLevel="0" collapsed="false">
      <c r="B466" s="6" t="s">
        <v>195</v>
      </c>
      <c r="C466" s="6" t="s">
        <v>180</v>
      </c>
      <c r="D466" s="6" t="s">
        <v>3748</v>
      </c>
      <c r="E466" s="10" t="n">
        <v>1</v>
      </c>
      <c r="F466" s="6" t="s">
        <v>24</v>
      </c>
      <c r="G466" s="7" t="s">
        <v>3749</v>
      </c>
      <c r="H466" s="7" t="s">
        <v>3750</v>
      </c>
      <c r="I466" s="7" t="s">
        <v>3751</v>
      </c>
      <c r="J466" s="7" t="s">
        <v>3752</v>
      </c>
      <c r="K466" s="7"/>
      <c r="L466" s="7"/>
      <c r="M466" s="7" t="s">
        <v>3753</v>
      </c>
      <c r="N466" s="7" t="s">
        <v>236</v>
      </c>
      <c r="O466" s="6" t="s">
        <v>3754</v>
      </c>
    </row>
    <row r="467" customFormat="false" ht="21.75" hidden="false" customHeight="true" outlineLevel="0" collapsed="false">
      <c r="B467" s="4" t="s">
        <v>195</v>
      </c>
      <c r="C467" s="4" t="s">
        <v>180</v>
      </c>
      <c r="D467" s="4" t="s">
        <v>3755</v>
      </c>
      <c r="E467" s="9" t="n">
        <v>0</v>
      </c>
      <c r="F467" s="4" t="s">
        <v>22</v>
      </c>
      <c r="G467" s="5" t="s">
        <v>3756</v>
      </c>
      <c r="H467" s="5" t="s">
        <v>3757</v>
      </c>
      <c r="I467" s="5" t="s">
        <v>3758</v>
      </c>
      <c r="J467" s="5" t="s">
        <v>3759</v>
      </c>
      <c r="K467" s="5"/>
      <c r="L467" s="5"/>
      <c r="M467" s="5" t="s">
        <v>3760</v>
      </c>
      <c r="N467" s="5" t="s">
        <v>236</v>
      </c>
      <c r="O467" s="4" t="s">
        <v>3761</v>
      </c>
    </row>
    <row r="468" customFormat="false" ht="21.75" hidden="false" customHeight="true" outlineLevel="0" collapsed="false">
      <c r="B468" s="6" t="s">
        <v>195</v>
      </c>
      <c r="C468" s="6" t="s">
        <v>180</v>
      </c>
      <c r="D468" s="6" t="s">
        <v>3762</v>
      </c>
      <c r="E468" s="10" t="n">
        <v>1</v>
      </c>
      <c r="F468" s="6" t="s">
        <v>24</v>
      </c>
      <c r="G468" s="7" t="s">
        <v>3763</v>
      </c>
      <c r="H468" s="7" t="s">
        <v>3764</v>
      </c>
      <c r="I468" s="7" t="s">
        <v>3765</v>
      </c>
      <c r="J468" s="7" t="s">
        <v>3766</v>
      </c>
      <c r="K468" s="7"/>
      <c r="L468" s="7"/>
      <c r="M468" s="7" t="s">
        <v>3767</v>
      </c>
      <c r="N468" s="7" t="s">
        <v>236</v>
      </c>
      <c r="O468" s="6" t="s">
        <v>3768</v>
      </c>
    </row>
    <row r="469" customFormat="false" ht="21.75" hidden="false" customHeight="true" outlineLevel="0" collapsed="false">
      <c r="B469" s="4" t="s">
        <v>195</v>
      </c>
      <c r="C469" s="4" t="s">
        <v>180</v>
      </c>
      <c r="D469" s="4" t="s">
        <v>3769</v>
      </c>
      <c r="E469" s="9" t="n">
        <v>2</v>
      </c>
      <c r="F469" s="4" t="s">
        <v>26</v>
      </c>
      <c r="G469" s="5" t="s">
        <v>3770</v>
      </c>
      <c r="H469" s="5" t="s">
        <v>3771</v>
      </c>
      <c r="I469" s="5" t="s">
        <v>3772</v>
      </c>
      <c r="J469" s="5" t="s">
        <v>3773</v>
      </c>
      <c r="K469" s="5" t="s">
        <v>3774</v>
      </c>
      <c r="L469" s="5" t="s">
        <v>244</v>
      </c>
      <c r="M469" s="5" t="s">
        <v>3775</v>
      </c>
      <c r="N469" s="5" t="s">
        <v>236</v>
      </c>
      <c r="O469" s="4" t="s">
        <v>3776</v>
      </c>
    </row>
    <row r="470" customFormat="false" ht="21.75" hidden="false" customHeight="true" outlineLevel="0" collapsed="false">
      <c r="B470" s="6" t="s">
        <v>195</v>
      </c>
      <c r="C470" s="6" t="s">
        <v>180</v>
      </c>
      <c r="D470" s="6" t="s">
        <v>3777</v>
      </c>
      <c r="E470" s="10" t="n">
        <v>2</v>
      </c>
      <c r="F470" s="6" t="s">
        <v>26</v>
      </c>
      <c r="G470" s="7" t="s">
        <v>3778</v>
      </c>
      <c r="H470" s="7" t="s">
        <v>3779</v>
      </c>
      <c r="I470" s="7" t="s">
        <v>3780</v>
      </c>
      <c r="J470" s="7" t="s">
        <v>3781</v>
      </c>
      <c r="K470" s="7"/>
      <c r="L470" s="7"/>
      <c r="M470" s="7" t="s">
        <v>3782</v>
      </c>
      <c r="N470" s="7" t="s">
        <v>236</v>
      </c>
      <c r="O470" s="6" t="s">
        <v>3783</v>
      </c>
    </row>
    <row r="471" customFormat="false" ht="21.75" hidden="false" customHeight="true" outlineLevel="0" collapsed="false">
      <c r="B471" s="4" t="s">
        <v>195</v>
      </c>
      <c r="C471" s="4" t="s">
        <v>180</v>
      </c>
      <c r="D471" s="4" t="s">
        <v>3784</v>
      </c>
      <c r="E471" s="9" t="n">
        <v>2</v>
      </c>
      <c r="F471" s="4" t="s">
        <v>26</v>
      </c>
      <c r="G471" s="5" t="s">
        <v>3785</v>
      </c>
      <c r="H471" s="5" t="s">
        <v>3786</v>
      </c>
      <c r="I471" s="5" t="s">
        <v>3787</v>
      </c>
      <c r="J471" s="5" t="s">
        <v>3788</v>
      </c>
      <c r="K471" s="5" t="s">
        <v>3789</v>
      </c>
      <c r="L471" s="5" t="s">
        <v>291</v>
      </c>
      <c r="M471" s="5" t="s">
        <v>3790</v>
      </c>
      <c r="N471" s="5" t="s">
        <v>236</v>
      </c>
      <c r="O471" s="4" t="s">
        <v>3791</v>
      </c>
    </row>
    <row r="472" customFormat="false" ht="21.75" hidden="false" customHeight="true" outlineLevel="0" collapsed="false">
      <c r="B472" s="6" t="s">
        <v>195</v>
      </c>
      <c r="C472" s="6" t="s">
        <v>180</v>
      </c>
      <c r="D472" s="6" t="s">
        <v>3792</v>
      </c>
      <c r="E472" s="10" t="n">
        <v>3</v>
      </c>
      <c r="F472" s="6" t="s">
        <v>28</v>
      </c>
      <c r="G472" s="7" t="s">
        <v>3793</v>
      </c>
      <c r="H472" s="7" t="s">
        <v>3794</v>
      </c>
      <c r="I472" s="7" t="s">
        <v>3795</v>
      </c>
      <c r="J472" s="7" t="s">
        <v>3796</v>
      </c>
      <c r="K472" s="7"/>
      <c r="L472" s="7"/>
      <c r="M472" s="7" t="s">
        <v>3797</v>
      </c>
      <c r="N472" s="7" t="s">
        <v>236</v>
      </c>
      <c r="O472" s="6" t="s">
        <v>3798</v>
      </c>
    </row>
    <row r="473" customFormat="false" ht="21.75" hidden="false" customHeight="true" outlineLevel="0" collapsed="false">
      <c r="B473" s="4" t="s">
        <v>195</v>
      </c>
      <c r="C473" s="4" t="s">
        <v>180</v>
      </c>
      <c r="D473" s="4" t="s">
        <v>3799</v>
      </c>
      <c r="E473" s="9" t="n">
        <v>4</v>
      </c>
      <c r="F473" s="4" t="s">
        <v>30</v>
      </c>
      <c r="G473" s="5" t="s">
        <v>3800</v>
      </c>
      <c r="H473" s="5" t="s">
        <v>3801</v>
      </c>
      <c r="I473" s="5" t="s">
        <v>3802</v>
      </c>
      <c r="J473" s="5" t="s">
        <v>3803</v>
      </c>
      <c r="K473" s="5"/>
      <c r="L473" s="5"/>
      <c r="M473" s="5" t="s">
        <v>3804</v>
      </c>
      <c r="N473" s="5" t="s">
        <v>236</v>
      </c>
      <c r="O473" s="4" t="s">
        <v>3805</v>
      </c>
    </row>
    <row r="474" customFormat="false" ht="21.75" hidden="false" customHeight="true" outlineLevel="0" collapsed="false">
      <c r="B474" s="6" t="s">
        <v>199</v>
      </c>
      <c r="C474" s="6" t="s">
        <v>180</v>
      </c>
      <c r="D474" s="6" t="s">
        <v>3806</v>
      </c>
      <c r="E474" s="10" t="n">
        <v>0</v>
      </c>
      <c r="F474" s="6" t="s">
        <v>22</v>
      </c>
      <c r="G474" s="7" t="s">
        <v>3807</v>
      </c>
      <c r="H474" s="7" t="s">
        <v>3808</v>
      </c>
      <c r="I474" s="7" t="s">
        <v>3809</v>
      </c>
      <c r="J474" s="7" t="s">
        <v>3810</v>
      </c>
      <c r="K474" s="7"/>
      <c r="L474" s="7"/>
      <c r="M474" s="7" t="s">
        <v>3811</v>
      </c>
      <c r="N474" s="7" t="s">
        <v>236</v>
      </c>
      <c r="O474" s="6" t="s">
        <v>3812</v>
      </c>
    </row>
    <row r="475" customFormat="false" ht="21.75" hidden="false" customHeight="true" outlineLevel="0" collapsed="false">
      <c r="B475" s="4" t="s">
        <v>199</v>
      </c>
      <c r="C475" s="4" t="s">
        <v>180</v>
      </c>
      <c r="D475" s="4" t="s">
        <v>3813</v>
      </c>
      <c r="E475" s="9" t="n">
        <v>0</v>
      </c>
      <c r="F475" s="4" t="s">
        <v>22</v>
      </c>
      <c r="G475" s="5" t="s">
        <v>3814</v>
      </c>
      <c r="H475" s="5" t="s">
        <v>3815</v>
      </c>
      <c r="I475" s="5" t="s">
        <v>3810</v>
      </c>
      <c r="J475" s="5" t="s">
        <v>3816</v>
      </c>
      <c r="K475" s="5"/>
      <c r="L475" s="5"/>
      <c r="M475" s="5" t="s">
        <v>3817</v>
      </c>
      <c r="N475" s="5" t="s">
        <v>236</v>
      </c>
      <c r="O475" s="4" t="s">
        <v>3818</v>
      </c>
    </row>
    <row r="476" customFormat="false" ht="21.75" hidden="false" customHeight="true" outlineLevel="0" collapsed="false">
      <c r="B476" s="6" t="s">
        <v>199</v>
      </c>
      <c r="C476" s="6" t="s">
        <v>180</v>
      </c>
      <c r="D476" s="6" t="s">
        <v>3819</v>
      </c>
      <c r="E476" s="10" t="n">
        <v>1</v>
      </c>
      <c r="F476" s="6" t="s">
        <v>24</v>
      </c>
      <c r="G476" s="7" t="s">
        <v>3820</v>
      </c>
      <c r="H476" s="7" t="s">
        <v>3821</v>
      </c>
      <c r="I476" s="7" t="s">
        <v>3822</v>
      </c>
      <c r="J476" s="7" t="s">
        <v>3823</v>
      </c>
      <c r="K476" s="7"/>
      <c r="L476" s="7"/>
      <c r="M476" s="7" t="s">
        <v>3824</v>
      </c>
      <c r="N476" s="7" t="s">
        <v>236</v>
      </c>
      <c r="O476" s="6" t="s">
        <v>3825</v>
      </c>
    </row>
    <row r="477" customFormat="false" ht="21.75" hidden="false" customHeight="true" outlineLevel="0" collapsed="false">
      <c r="B477" s="4" t="s">
        <v>199</v>
      </c>
      <c r="C477" s="4" t="s">
        <v>180</v>
      </c>
      <c r="D477" s="4" t="s">
        <v>3826</v>
      </c>
      <c r="E477" s="9" t="n">
        <v>1</v>
      </c>
      <c r="F477" s="4" t="s">
        <v>24</v>
      </c>
      <c r="G477" s="5" t="s">
        <v>3827</v>
      </c>
      <c r="H477" s="5" t="s">
        <v>3828</v>
      </c>
      <c r="I477" s="5" t="s">
        <v>3829</v>
      </c>
      <c r="J477" s="5" t="s">
        <v>3830</v>
      </c>
      <c r="K477" s="5" t="s">
        <v>3831</v>
      </c>
      <c r="L477" s="5" t="s">
        <v>291</v>
      </c>
      <c r="M477" s="5" t="s">
        <v>3832</v>
      </c>
      <c r="N477" s="5" t="s">
        <v>236</v>
      </c>
      <c r="O477" s="4" t="s">
        <v>3833</v>
      </c>
    </row>
    <row r="478" customFormat="false" ht="21.75" hidden="false" customHeight="true" outlineLevel="0" collapsed="false">
      <c r="B478" s="6" t="s">
        <v>199</v>
      </c>
      <c r="C478" s="6" t="s">
        <v>180</v>
      </c>
      <c r="D478" s="6" t="s">
        <v>3834</v>
      </c>
      <c r="E478" s="10" t="n">
        <v>2</v>
      </c>
      <c r="F478" s="6" t="s">
        <v>26</v>
      </c>
      <c r="G478" s="7" t="s">
        <v>3835</v>
      </c>
      <c r="H478" s="7" t="s">
        <v>3836</v>
      </c>
      <c r="I478" s="7" t="s">
        <v>3837</v>
      </c>
      <c r="J478" s="7" t="s">
        <v>3838</v>
      </c>
      <c r="K478" s="7"/>
      <c r="L478" s="7"/>
      <c r="M478" s="7" t="s">
        <v>3839</v>
      </c>
      <c r="N478" s="7" t="s">
        <v>236</v>
      </c>
      <c r="O478" s="6" t="s">
        <v>3840</v>
      </c>
    </row>
    <row r="479" customFormat="false" ht="21.75" hidden="false" customHeight="true" outlineLevel="0" collapsed="false">
      <c r="B479" s="4" t="s">
        <v>199</v>
      </c>
      <c r="C479" s="4" t="s">
        <v>180</v>
      </c>
      <c r="D479" s="4" t="s">
        <v>3841</v>
      </c>
      <c r="E479" s="9" t="n">
        <v>4</v>
      </c>
      <c r="F479" s="4" t="s">
        <v>30</v>
      </c>
      <c r="G479" s="5" t="s">
        <v>3842</v>
      </c>
      <c r="H479" s="5" t="s">
        <v>3843</v>
      </c>
      <c r="I479" s="5" t="s">
        <v>3844</v>
      </c>
      <c r="J479" s="5" t="s">
        <v>3845</v>
      </c>
      <c r="K479" s="5" t="s">
        <v>3846</v>
      </c>
      <c r="L479" s="5" t="s">
        <v>244</v>
      </c>
      <c r="M479" s="5" t="s">
        <v>3847</v>
      </c>
      <c r="N479" s="5" t="s">
        <v>236</v>
      </c>
      <c r="O479" s="4" t="s">
        <v>3848</v>
      </c>
    </row>
    <row r="480" customFormat="false" ht="21.75" hidden="false" customHeight="true" outlineLevel="0" collapsed="false">
      <c r="B480" s="6" t="s">
        <v>199</v>
      </c>
      <c r="C480" s="6" t="s">
        <v>180</v>
      </c>
      <c r="D480" s="6" t="s">
        <v>3849</v>
      </c>
      <c r="E480" s="10" t="n">
        <v>2</v>
      </c>
      <c r="F480" s="6" t="s">
        <v>26</v>
      </c>
      <c r="G480" s="7" t="s">
        <v>3850</v>
      </c>
      <c r="H480" s="7" t="s">
        <v>3851</v>
      </c>
      <c r="I480" s="7" t="s">
        <v>3852</v>
      </c>
      <c r="J480" s="7" t="s">
        <v>3853</v>
      </c>
      <c r="K480" s="7" t="s">
        <v>3854</v>
      </c>
      <c r="L480" s="7" t="s">
        <v>244</v>
      </c>
      <c r="M480" s="7" t="s">
        <v>3855</v>
      </c>
      <c r="N480" s="7" t="s">
        <v>236</v>
      </c>
      <c r="O480" s="6" t="s">
        <v>3856</v>
      </c>
    </row>
    <row r="481" customFormat="false" ht="21.75" hidden="false" customHeight="true" outlineLevel="0" collapsed="false">
      <c r="B481" s="4" t="s">
        <v>199</v>
      </c>
      <c r="C481" s="4" t="s">
        <v>180</v>
      </c>
      <c r="D481" s="4" t="s">
        <v>3857</v>
      </c>
      <c r="E481" s="9" t="n">
        <v>4</v>
      </c>
      <c r="F481" s="4" t="s">
        <v>30</v>
      </c>
      <c r="G481" s="5" t="s">
        <v>3858</v>
      </c>
      <c r="H481" s="5" t="s">
        <v>3859</v>
      </c>
      <c r="I481" s="5" t="s">
        <v>3860</v>
      </c>
      <c r="J481" s="5" t="s">
        <v>3861</v>
      </c>
      <c r="K481" s="5" t="s">
        <v>3862</v>
      </c>
      <c r="L481" s="5" t="s">
        <v>389</v>
      </c>
      <c r="M481" s="5" t="s">
        <v>3863</v>
      </c>
      <c r="N481" s="5" t="s">
        <v>236</v>
      </c>
      <c r="O481" s="4" t="s">
        <v>3864</v>
      </c>
    </row>
    <row r="482" customFormat="false" ht="21.75" hidden="false" customHeight="true" outlineLevel="0" collapsed="false">
      <c r="B482" s="6" t="s">
        <v>199</v>
      </c>
      <c r="C482" s="6" t="s">
        <v>180</v>
      </c>
      <c r="D482" s="6" t="s">
        <v>3865</v>
      </c>
      <c r="E482" s="10" t="n">
        <v>4</v>
      </c>
      <c r="F482" s="6" t="s">
        <v>30</v>
      </c>
      <c r="G482" s="7" t="s">
        <v>3866</v>
      </c>
      <c r="H482" s="7" t="s">
        <v>3867</v>
      </c>
      <c r="I482" s="7" t="s">
        <v>3868</v>
      </c>
      <c r="J482" s="7" t="s">
        <v>3869</v>
      </c>
      <c r="K482" s="7" t="s">
        <v>3870</v>
      </c>
      <c r="L482" s="7" t="s">
        <v>389</v>
      </c>
      <c r="M482" s="7" t="s">
        <v>3871</v>
      </c>
      <c r="N482" s="7" t="s">
        <v>236</v>
      </c>
      <c r="O482" s="6" t="s">
        <v>3872</v>
      </c>
    </row>
    <row r="483" customFormat="false" ht="21.75" hidden="false" customHeight="true" outlineLevel="0" collapsed="false">
      <c r="B483" s="4" t="s">
        <v>199</v>
      </c>
      <c r="C483" s="4" t="s">
        <v>180</v>
      </c>
      <c r="D483" s="4" t="s">
        <v>3873</v>
      </c>
      <c r="E483" s="9" t="n">
        <v>3</v>
      </c>
      <c r="F483" s="4" t="s">
        <v>28</v>
      </c>
      <c r="G483" s="5" t="s">
        <v>3874</v>
      </c>
      <c r="H483" s="5" t="s">
        <v>3875</v>
      </c>
      <c r="I483" s="5" t="s">
        <v>3876</v>
      </c>
      <c r="J483" s="5" t="s">
        <v>3877</v>
      </c>
      <c r="K483" s="5"/>
      <c r="L483" s="5"/>
      <c r="M483" s="5" t="s">
        <v>3878</v>
      </c>
      <c r="N483" s="5" t="s">
        <v>236</v>
      </c>
      <c r="O483" s="4" t="s">
        <v>3879</v>
      </c>
    </row>
    <row r="484" customFormat="false" ht="21.75" hidden="false" customHeight="true" outlineLevel="0" collapsed="false">
      <c r="B484" s="6" t="s">
        <v>199</v>
      </c>
      <c r="C484" s="6" t="s">
        <v>180</v>
      </c>
      <c r="D484" s="6" t="s">
        <v>3880</v>
      </c>
      <c r="E484" s="10" t="n">
        <v>4</v>
      </c>
      <c r="F484" s="6" t="s">
        <v>30</v>
      </c>
      <c r="G484" s="7" t="s">
        <v>3881</v>
      </c>
      <c r="H484" s="7" t="s">
        <v>3882</v>
      </c>
      <c r="I484" s="7" t="s">
        <v>3883</v>
      </c>
      <c r="J484" s="7" t="s">
        <v>3884</v>
      </c>
      <c r="K484" s="7"/>
      <c r="L484" s="7"/>
      <c r="M484" s="7" t="s">
        <v>3885</v>
      </c>
      <c r="N484" s="7" t="s">
        <v>236</v>
      </c>
      <c r="O484" s="6" t="s">
        <v>3886</v>
      </c>
    </row>
    <row r="485" customFormat="false" ht="21.75" hidden="false" customHeight="true" outlineLevel="0" collapsed="false">
      <c r="B485" s="4" t="s">
        <v>199</v>
      </c>
      <c r="C485" s="4" t="s">
        <v>180</v>
      </c>
      <c r="D485" s="4" t="s">
        <v>3887</v>
      </c>
      <c r="E485" s="9" t="n">
        <v>2</v>
      </c>
      <c r="F485" s="4" t="s">
        <v>26</v>
      </c>
      <c r="G485" s="5" t="s">
        <v>3888</v>
      </c>
      <c r="H485" s="5" t="s">
        <v>3889</v>
      </c>
      <c r="I485" s="5" t="s">
        <v>3890</v>
      </c>
      <c r="J485" s="5" t="s">
        <v>3891</v>
      </c>
      <c r="K485" s="5" t="s">
        <v>3892</v>
      </c>
      <c r="L485" s="5" t="s">
        <v>244</v>
      </c>
      <c r="M485" s="5" t="s">
        <v>3893</v>
      </c>
      <c r="N485" s="5" t="s">
        <v>236</v>
      </c>
      <c r="O485" s="4" t="s">
        <v>3894</v>
      </c>
    </row>
    <row r="486" customFormat="false" ht="21.75" hidden="false" customHeight="true" outlineLevel="0" collapsed="false">
      <c r="B486" s="6" t="s">
        <v>204</v>
      </c>
      <c r="C486" s="6" t="s">
        <v>180</v>
      </c>
      <c r="D486" s="6" t="s">
        <v>3895</v>
      </c>
      <c r="E486" s="10" t="n">
        <v>0</v>
      </c>
      <c r="F486" s="6" t="s">
        <v>22</v>
      </c>
      <c r="G486" s="7" t="s">
        <v>3896</v>
      </c>
      <c r="H486" s="7" t="s">
        <v>3897</v>
      </c>
      <c r="I486" s="7" t="s">
        <v>3898</v>
      </c>
      <c r="J486" s="7" t="s">
        <v>3899</v>
      </c>
      <c r="K486" s="7"/>
      <c r="L486" s="7"/>
      <c r="M486" s="7" t="s">
        <v>3900</v>
      </c>
      <c r="N486" s="7" t="s">
        <v>236</v>
      </c>
      <c r="O486" s="6" t="s">
        <v>3901</v>
      </c>
    </row>
    <row r="487" customFormat="false" ht="21.75" hidden="false" customHeight="true" outlineLevel="0" collapsed="false">
      <c r="B487" s="4" t="s">
        <v>204</v>
      </c>
      <c r="C487" s="4" t="s">
        <v>180</v>
      </c>
      <c r="D487" s="4" t="s">
        <v>3902</v>
      </c>
      <c r="E487" s="9" t="n">
        <v>0</v>
      </c>
      <c r="F487" s="4" t="s">
        <v>22</v>
      </c>
      <c r="G487" s="5" t="s">
        <v>3903</v>
      </c>
      <c r="H487" s="5" t="s">
        <v>3904</v>
      </c>
      <c r="I487" s="5" t="s">
        <v>3905</v>
      </c>
      <c r="J487" s="5" t="s">
        <v>3906</v>
      </c>
      <c r="K487" s="5"/>
      <c r="L487" s="5"/>
      <c r="M487" s="5" t="s">
        <v>3907</v>
      </c>
      <c r="N487" s="5" t="s">
        <v>236</v>
      </c>
      <c r="O487" s="4" t="s">
        <v>3908</v>
      </c>
    </row>
    <row r="488" customFormat="false" ht="21.75" hidden="false" customHeight="true" outlineLevel="0" collapsed="false">
      <c r="B488" s="6" t="s">
        <v>204</v>
      </c>
      <c r="C488" s="6" t="s">
        <v>180</v>
      </c>
      <c r="D488" s="6" t="s">
        <v>3909</v>
      </c>
      <c r="E488" s="10" t="n">
        <v>3</v>
      </c>
      <c r="F488" s="6" t="s">
        <v>28</v>
      </c>
      <c r="G488" s="7" t="s">
        <v>3910</v>
      </c>
      <c r="H488" s="7" t="s">
        <v>3911</v>
      </c>
      <c r="I488" s="7" t="s">
        <v>3912</v>
      </c>
      <c r="J488" s="7" t="s">
        <v>3913</v>
      </c>
      <c r="K488" s="7"/>
      <c r="L488" s="7"/>
      <c r="M488" s="7" t="s">
        <v>3914</v>
      </c>
      <c r="N488" s="7" t="s">
        <v>236</v>
      </c>
      <c r="O488" s="6" t="s">
        <v>3915</v>
      </c>
    </row>
    <row r="489" customFormat="false" ht="21.75" hidden="false" customHeight="true" outlineLevel="0" collapsed="false">
      <c r="B489" s="4" t="s">
        <v>204</v>
      </c>
      <c r="C489" s="4" t="s">
        <v>180</v>
      </c>
      <c r="D489" s="4" t="s">
        <v>3916</v>
      </c>
      <c r="E489" s="9" t="n">
        <v>1</v>
      </c>
      <c r="F489" s="4" t="s">
        <v>24</v>
      </c>
      <c r="G489" s="5" t="s">
        <v>3917</v>
      </c>
      <c r="H489" s="5" t="s">
        <v>3918</v>
      </c>
      <c r="I489" s="5" t="s">
        <v>3919</v>
      </c>
      <c r="J489" s="5" t="s">
        <v>3920</v>
      </c>
      <c r="K489" s="5"/>
      <c r="L489" s="5"/>
      <c r="M489" s="5" t="s">
        <v>3921</v>
      </c>
      <c r="N489" s="5" t="s">
        <v>236</v>
      </c>
      <c r="O489" s="4" t="s">
        <v>3922</v>
      </c>
    </row>
    <row r="490" customFormat="false" ht="21.75" hidden="false" customHeight="true" outlineLevel="0" collapsed="false">
      <c r="B490" s="6" t="s">
        <v>204</v>
      </c>
      <c r="C490" s="6" t="s">
        <v>180</v>
      </c>
      <c r="D490" s="6" t="s">
        <v>3923</v>
      </c>
      <c r="E490" s="10" t="n">
        <v>2</v>
      </c>
      <c r="F490" s="6" t="s">
        <v>26</v>
      </c>
      <c r="G490" s="7" t="s">
        <v>3924</v>
      </c>
      <c r="H490" s="7" t="s">
        <v>3925</v>
      </c>
      <c r="I490" s="7" t="s">
        <v>3926</v>
      </c>
      <c r="J490" s="7" t="s">
        <v>3927</v>
      </c>
      <c r="K490" s="7" t="s">
        <v>3928</v>
      </c>
      <c r="L490" s="7" t="s">
        <v>389</v>
      </c>
      <c r="M490" s="7" t="s">
        <v>3929</v>
      </c>
      <c r="N490" s="7" t="s">
        <v>236</v>
      </c>
      <c r="O490" s="6" t="s">
        <v>3930</v>
      </c>
    </row>
    <row r="491" customFormat="false" ht="21.75" hidden="false" customHeight="true" outlineLevel="0" collapsed="false">
      <c r="B491" s="4" t="s">
        <v>204</v>
      </c>
      <c r="C491" s="4" t="s">
        <v>180</v>
      </c>
      <c r="D491" s="4" t="s">
        <v>3931</v>
      </c>
      <c r="E491" s="9" t="n">
        <v>3</v>
      </c>
      <c r="F491" s="4" t="s">
        <v>28</v>
      </c>
      <c r="G491" s="5" t="s">
        <v>3932</v>
      </c>
      <c r="H491" s="5" t="s">
        <v>3933</v>
      </c>
      <c r="I491" s="5" t="s">
        <v>3934</v>
      </c>
      <c r="J491" s="5" t="s">
        <v>3935</v>
      </c>
      <c r="K491" s="5"/>
      <c r="L491" s="5"/>
      <c r="M491" s="5" t="s">
        <v>3936</v>
      </c>
      <c r="N491" s="5" t="s">
        <v>236</v>
      </c>
      <c r="O491" s="4" t="s">
        <v>3937</v>
      </c>
    </row>
    <row r="492" customFormat="false" ht="21.75" hidden="false" customHeight="true" outlineLevel="0" collapsed="false">
      <c r="B492" s="6" t="s">
        <v>204</v>
      </c>
      <c r="C492" s="6" t="s">
        <v>180</v>
      </c>
      <c r="D492" s="6" t="s">
        <v>3938</v>
      </c>
      <c r="E492" s="10" t="n">
        <v>3</v>
      </c>
      <c r="F492" s="6" t="s">
        <v>28</v>
      </c>
      <c r="G492" s="7" t="s">
        <v>3939</v>
      </c>
      <c r="H492" s="7" t="s">
        <v>3940</v>
      </c>
      <c r="I492" s="7" t="s">
        <v>3941</v>
      </c>
      <c r="J492" s="7" t="s">
        <v>3942</v>
      </c>
      <c r="K492" s="7"/>
      <c r="L492" s="7"/>
      <c r="M492" s="7" t="s">
        <v>3943</v>
      </c>
      <c r="N492" s="7" t="s">
        <v>236</v>
      </c>
      <c r="O492" s="6" t="s">
        <v>3944</v>
      </c>
    </row>
    <row r="493" customFormat="false" ht="21.75" hidden="false" customHeight="true" outlineLevel="0" collapsed="false">
      <c r="B493" s="4" t="s">
        <v>204</v>
      </c>
      <c r="C493" s="4" t="s">
        <v>180</v>
      </c>
      <c r="D493" s="4" t="s">
        <v>3945</v>
      </c>
      <c r="E493" s="9" t="n">
        <v>1</v>
      </c>
      <c r="F493" s="4" t="s">
        <v>24</v>
      </c>
      <c r="G493" s="5" t="s">
        <v>3946</v>
      </c>
      <c r="H493" s="5" t="s">
        <v>3947</v>
      </c>
      <c r="I493" s="5" t="s">
        <v>3948</v>
      </c>
      <c r="J493" s="5" t="s">
        <v>3949</v>
      </c>
      <c r="K493" s="5"/>
      <c r="L493" s="5"/>
      <c r="M493" s="5" t="s">
        <v>3950</v>
      </c>
      <c r="N493" s="5" t="s">
        <v>236</v>
      </c>
      <c r="O493" s="4" t="s">
        <v>3951</v>
      </c>
    </row>
    <row r="494" customFormat="false" ht="21.75" hidden="false" customHeight="true" outlineLevel="0" collapsed="false">
      <c r="B494" s="6" t="s">
        <v>204</v>
      </c>
      <c r="C494" s="6" t="s">
        <v>180</v>
      </c>
      <c r="D494" s="6" t="s">
        <v>3952</v>
      </c>
      <c r="E494" s="10" t="n">
        <v>2</v>
      </c>
      <c r="F494" s="6" t="s">
        <v>26</v>
      </c>
      <c r="G494" s="7" t="s">
        <v>3953</v>
      </c>
      <c r="H494" s="7" t="s">
        <v>3954</v>
      </c>
      <c r="I494" s="7" t="s">
        <v>3955</v>
      </c>
      <c r="J494" s="7" t="s">
        <v>3956</v>
      </c>
      <c r="K494" s="7" t="s">
        <v>3957</v>
      </c>
      <c r="L494" s="7" t="s">
        <v>260</v>
      </c>
      <c r="M494" s="7" t="s">
        <v>3958</v>
      </c>
      <c r="N494" s="7" t="s">
        <v>236</v>
      </c>
      <c r="O494" s="6" t="s">
        <v>3959</v>
      </c>
    </row>
    <row r="495" customFormat="false" ht="21.75" hidden="false" customHeight="true" outlineLevel="0" collapsed="false">
      <c r="B495" s="4" t="s">
        <v>204</v>
      </c>
      <c r="C495" s="4" t="s">
        <v>180</v>
      </c>
      <c r="D495" s="4" t="s">
        <v>3960</v>
      </c>
      <c r="E495" s="9" t="n">
        <v>1</v>
      </c>
      <c r="F495" s="4" t="s">
        <v>24</v>
      </c>
      <c r="G495" s="5" t="s">
        <v>3961</v>
      </c>
      <c r="H495" s="5" t="s">
        <v>3962</v>
      </c>
      <c r="I495" s="5" t="s">
        <v>3963</v>
      </c>
      <c r="J495" s="5" t="s">
        <v>3964</v>
      </c>
      <c r="K495" s="5"/>
      <c r="L495" s="5"/>
      <c r="M495" s="5" t="s">
        <v>3965</v>
      </c>
      <c r="N495" s="5" t="s">
        <v>236</v>
      </c>
      <c r="O495" s="4" t="s">
        <v>3966</v>
      </c>
    </row>
    <row r="496" customFormat="false" ht="21.75" hidden="false" customHeight="true" outlineLevel="0" collapsed="false">
      <c r="B496" s="6" t="s">
        <v>204</v>
      </c>
      <c r="C496" s="6" t="s">
        <v>180</v>
      </c>
      <c r="D496" s="6" t="s">
        <v>3967</v>
      </c>
      <c r="E496" s="10" t="n">
        <v>2</v>
      </c>
      <c r="F496" s="6" t="s">
        <v>26</v>
      </c>
      <c r="G496" s="7" t="s">
        <v>3968</v>
      </c>
      <c r="H496" s="7" t="s">
        <v>3969</v>
      </c>
      <c r="I496" s="7" t="s">
        <v>3970</v>
      </c>
      <c r="J496" s="7" t="s">
        <v>3971</v>
      </c>
      <c r="K496" s="7" t="s">
        <v>3972</v>
      </c>
      <c r="L496" s="7" t="s">
        <v>234</v>
      </c>
      <c r="M496" s="7" t="s">
        <v>3973</v>
      </c>
      <c r="N496" s="7" t="s">
        <v>236</v>
      </c>
      <c r="O496" s="6" t="s">
        <v>3974</v>
      </c>
    </row>
    <row r="497" customFormat="false" ht="21.75" hidden="false" customHeight="true" outlineLevel="0" collapsed="false">
      <c r="B497" s="4" t="s">
        <v>204</v>
      </c>
      <c r="C497" s="4" t="s">
        <v>180</v>
      </c>
      <c r="D497" s="4" t="s">
        <v>3975</v>
      </c>
      <c r="E497" s="9" t="n">
        <v>3</v>
      </c>
      <c r="F497" s="4" t="s">
        <v>28</v>
      </c>
      <c r="G497" s="5" t="s">
        <v>3976</v>
      </c>
      <c r="H497" s="5" t="s">
        <v>3977</v>
      </c>
      <c r="I497" s="5" t="s">
        <v>3978</v>
      </c>
      <c r="J497" s="5" t="s">
        <v>3979</v>
      </c>
      <c r="K497" s="5"/>
      <c r="L497" s="5"/>
      <c r="M497" s="5" t="s">
        <v>3980</v>
      </c>
      <c r="N497" s="5" t="s">
        <v>236</v>
      </c>
      <c r="O497" s="4" t="s">
        <v>3981</v>
      </c>
    </row>
    <row r="498" customFormat="false" ht="21.75" hidden="false" customHeight="true" outlineLevel="0" collapsed="false">
      <c r="B498" s="6" t="s">
        <v>204</v>
      </c>
      <c r="C498" s="6" t="s">
        <v>180</v>
      </c>
      <c r="D498" s="6" t="s">
        <v>3982</v>
      </c>
      <c r="E498" s="10" t="n">
        <v>1</v>
      </c>
      <c r="F498" s="6" t="s">
        <v>24</v>
      </c>
      <c r="G498" s="7" t="s">
        <v>3983</v>
      </c>
      <c r="H498" s="7" t="s">
        <v>3984</v>
      </c>
      <c r="I498" s="7" t="s">
        <v>3985</v>
      </c>
      <c r="J498" s="7" t="s">
        <v>3986</v>
      </c>
      <c r="K498" s="7"/>
      <c r="L498" s="7"/>
      <c r="M498" s="7" t="s">
        <v>3987</v>
      </c>
      <c r="N498" s="7" t="s">
        <v>236</v>
      </c>
      <c r="O498" s="6" t="s">
        <v>3988</v>
      </c>
    </row>
    <row r="499" customFormat="false" ht="21.75" hidden="false" customHeight="true" outlineLevel="0" collapsed="false">
      <c r="B499" s="4" t="s">
        <v>204</v>
      </c>
      <c r="C499" s="4" t="s">
        <v>180</v>
      </c>
      <c r="D499" s="4" t="s">
        <v>3989</v>
      </c>
      <c r="E499" s="9" t="n">
        <v>4</v>
      </c>
      <c r="F499" s="4" t="s">
        <v>30</v>
      </c>
      <c r="G499" s="5" t="s">
        <v>3990</v>
      </c>
      <c r="H499" s="5" t="s">
        <v>3991</v>
      </c>
      <c r="I499" s="5" t="s">
        <v>3992</v>
      </c>
      <c r="J499" s="5" t="s">
        <v>3993</v>
      </c>
      <c r="K499" s="5"/>
      <c r="L499" s="5"/>
      <c r="M499" s="5" t="s">
        <v>3994</v>
      </c>
      <c r="N499" s="5" t="s">
        <v>236</v>
      </c>
      <c r="O499" s="4" t="s">
        <v>3995</v>
      </c>
    </row>
    <row r="500" customFormat="false" ht="21.75" hidden="false" customHeight="true" outlineLevel="0" collapsed="false">
      <c r="B500" s="6" t="s">
        <v>209</v>
      </c>
      <c r="C500" s="6" t="s">
        <v>180</v>
      </c>
      <c r="D500" s="6" t="s">
        <v>3996</v>
      </c>
      <c r="E500" s="10" t="n">
        <v>0</v>
      </c>
      <c r="F500" s="6" t="s">
        <v>22</v>
      </c>
      <c r="G500" s="7" t="s">
        <v>3997</v>
      </c>
      <c r="H500" s="7" t="s">
        <v>3998</v>
      </c>
      <c r="I500" s="7" t="s">
        <v>3999</v>
      </c>
      <c r="J500" s="7" t="s">
        <v>4000</v>
      </c>
      <c r="K500" s="7"/>
      <c r="L500" s="7"/>
      <c r="M500" s="7" t="s">
        <v>4001</v>
      </c>
      <c r="N500" s="7" t="s">
        <v>236</v>
      </c>
      <c r="O500" s="6" t="s">
        <v>4002</v>
      </c>
    </row>
    <row r="501" customFormat="false" ht="21.75" hidden="false" customHeight="true" outlineLevel="0" collapsed="false">
      <c r="B501" s="4" t="s">
        <v>209</v>
      </c>
      <c r="C501" s="4" t="s">
        <v>180</v>
      </c>
      <c r="D501" s="4" t="s">
        <v>4003</v>
      </c>
      <c r="E501" s="9" t="n">
        <v>0</v>
      </c>
      <c r="F501" s="4" t="s">
        <v>22</v>
      </c>
      <c r="G501" s="5" t="s">
        <v>4004</v>
      </c>
      <c r="H501" s="5" t="s">
        <v>4005</v>
      </c>
      <c r="I501" s="5" t="s">
        <v>4006</v>
      </c>
      <c r="J501" s="5" t="s">
        <v>4007</v>
      </c>
      <c r="K501" s="5"/>
      <c r="L501" s="5"/>
      <c r="M501" s="5" t="s">
        <v>4008</v>
      </c>
      <c r="N501" s="5" t="s">
        <v>236</v>
      </c>
      <c r="O501" s="4" t="s">
        <v>4009</v>
      </c>
    </row>
    <row r="502" customFormat="false" ht="21.75" hidden="false" customHeight="true" outlineLevel="0" collapsed="false">
      <c r="B502" s="6" t="s">
        <v>209</v>
      </c>
      <c r="C502" s="6" t="s">
        <v>180</v>
      </c>
      <c r="D502" s="6" t="s">
        <v>4010</v>
      </c>
      <c r="E502" s="10" t="n">
        <v>1</v>
      </c>
      <c r="F502" s="6" t="s">
        <v>24</v>
      </c>
      <c r="G502" s="7" t="s">
        <v>4011</v>
      </c>
      <c r="H502" s="7" t="s">
        <v>4012</v>
      </c>
      <c r="I502" s="7" t="s">
        <v>4013</v>
      </c>
      <c r="J502" s="7" t="s">
        <v>4014</v>
      </c>
      <c r="K502" s="7" t="s">
        <v>4015</v>
      </c>
      <c r="L502" s="7" t="s">
        <v>291</v>
      </c>
      <c r="M502" s="7" t="s">
        <v>4016</v>
      </c>
      <c r="N502" s="7" t="s">
        <v>236</v>
      </c>
      <c r="O502" s="6" t="s">
        <v>4017</v>
      </c>
    </row>
    <row r="503" customFormat="false" ht="21.75" hidden="false" customHeight="true" outlineLevel="0" collapsed="false">
      <c r="B503" s="4" t="s">
        <v>209</v>
      </c>
      <c r="C503" s="4" t="s">
        <v>180</v>
      </c>
      <c r="D503" s="4" t="s">
        <v>4018</v>
      </c>
      <c r="E503" s="9" t="n">
        <v>1</v>
      </c>
      <c r="F503" s="4" t="s">
        <v>24</v>
      </c>
      <c r="G503" s="5" t="s">
        <v>4019</v>
      </c>
      <c r="H503" s="5" t="s">
        <v>4020</v>
      </c>
      <c r="I503" s="5" t="s">
        <v>4021</v>
      </c>
      <c r="J503" s="5" t="s">
        <v>4022</v>
      </c>
      <c r="K503" s="5"/>
      <c r="L503" s="5"/>
      <c r="M503" s="5" t="s">
        <v>4023</v>
      </c>
      <c r="N503" s="5" t="s">
        <v>236</v>
      </c>
      <c r="O503" s="4" t="s">
        <v>4024</v>
      </c>
    </row>
    <row r="504" customFormat="false" ht="21.75" hidden="false" customHeight="true" outlineLevel="0" collapsed="false">
      <c r="B504" s="6" t="s">
        <v>209</v>
      </c>
      <c r="C504" s="6" t="s">
        <v>180</v>
      </c>
      <c r="D504" s="6" t="s">
        <v>4025</v>
      </c>
      <c r="E504" s="10" t="n">
        <v>2</v>
      </c>
      <c r="F504" s="6" t="s">
        <v>26</v>
      </c>
      <c r="G504" s="7" t="s">
        <v>4026</v>
      </c>
      <c r="H504" s="7" t="s">
        <v>4027</v>
      </c>
      <c r="I504" s="7" t="s">
        <v>4028</v>
      </c>
      <c r="J504" s="7" t="s">
        <v>4029</v>
      </c>
      <c r="K504" s="7" t="s">
        <v>4030</v>
      </c>
      <c r="L504" s="7" t="s">
        <v>260</v>
      </c>
      <c r="M504" s="7" t="s">
        <v>4031</v>
      </c>
      <c r="N504" s="7" t="s">
        <v>236</v>
      </c>
      <c r="O504" s="6" t="s">
        <v>4032</v>
      </c>
    </row>
    <row r="505" customFormat="false" ht="21.75" hidden="false" customHeight="true" outlineLevel="0" collapsed="false">
      <c r="B505" s="4" t="s">
        <v>209</v>
      </c>
      <c r="C505" s="4" t="s">
        <v>180</v>
      </c>
      <c r="D505" s="4" t="s">
        <v>4033</v>
      </c>
      <c r="E505" s="9" t="n">
        <v>2</v>
      </c>
      <c r="F505" s="4" t="s">
        <v>26</v>
      </c>
      <c r="G505" s="5" t="s">
        <v>4034</v>
      </c>
      <c r="H505" s="5" t="s">
        <v>4035</v>
      </c>
      <c r="I505" s="5" t="s">
        <v>4036</v>
      </c>
      <c r="J505" s="5" t="s">
        <v>4037</v>
      </c>
      <c r="K505" s="5" t="s">
        <v>4038</v>
      </c>
      <c r="L505" s="5" t="s">
        <v>234</v>
      </c>
      <c r="M505" s="5" t="s">
        <v>4039</v>
      </c>
      <c r="N505" s="5" t="s">
        <v>236</v>
      </c>
      <c r="O505" s="4" t="s">
        <v>4040</v>
      </c>
    </row>
    <row r="506" customFormat="false" ht="21.75" hidden="false" customHeight="true" outlineLevel="0" collapsed="false">
      <c r="B506" s="6" t="s">
        <v>209</v>
      </c>
      <c r="C506" s="6" t="s">
        <v>180</v>
      </c>
      <c r="D506" s="6" t="s">
        <v>4041</v>
      </c>
      <c r="E506" s="10" t="n">
        <v>2</v>
      </c>
      <c r="F506" s="6" t="s">
        <v>26</v>
      </c>
      <c r="G506" s="7" t="s">
        <v>4042</v>
      </c>
      <c r="H506" s="7" t="s">
        <v>4043</v>
      </c>
      <c r="I506" s="7" t="s">
        <v>4044</v>
      </c>
      <c r="J506" s="7" t="s">
        <v>4045</v>
      </c>
      <c r="K506" s="7" t="s">
        <v>4046</v>
      </c>
      <c r="L506" s="7" t="s">
        <v>244</v>
      </c>
      <c r="M506" s="7" t="s">
        <v>4047</v>
      </c>
      <c r="N506" s="7" t="s">
        <v>236</v>
      </c>
      <c r="O506" s="6" t="s">
        <v>4048</v>
      </c>
    </row>
    <row r="507" customFormat="false" ht="21.75" hidden="false" customHeight="true" outlineLevel="0" collapsed="false">
      <c r="B507" s="4" t="s">
        <v>209</v>
      </c>
      <c r="C507" s="4" t="s">
        <v>180</v>
      </c>
      <c r="D507" s="4" t="s">
        <v>4049</v>
      </c>
      <c r="E507" s="9" t="n">
        <v>2</v>
      </c>
      <c r="F507" s="4" t="s">
        <v>26</v>
      </c>
      <c r="G507" s="5" t="s">
        <v>4050</v>
      </c>
      <c r="H507" s="5" t="s">
        <v>4051</v>
      </c>
      <c r="I507" s="5" t="s">
        <v>4052</v>
      </c>
      <c r="J507" s="5" t="s">
        <v>4053</v>
      </c>
      <c r="K507" s="5" t="s">
        <v>4054</v>
      </c>
      <c r="L507" s="5" t="s">
        <v>291</v>
      </c>
      <c r="M507" s="5" t="s">
        <v>4055</v>
      </c>
      <c r="N507" s="5" t="s">
        <v>236</v>
      </c>
      <c r="O507" s="4" t="s">
        <v>4056</v>
      </c>
    </row>
    <row r="508" customFormat="false" ht="21.75" hidden="false" customHeight="true" outlineLevel="0" collapsed="false">
      <c r="B508" s="6" t="s">
        <v>209</v>
      </c>
      <c r="C508" s="6" t="s">
        <v>180</v>
      </c>
      <c r="D508" s="6" t="s">
        <v>4057</v>
      </c>
      <c r="E508" s="10" t="n">
        <v>1</v>
      </c>
      <c r="F508" s="6" t="s">
        <v>24</v>
      </c>
      <c r="G508" s="7" t="s">
        <v>4058</v>
      </c>
      <c r="H508" s="7" t="s">
        <v>4059</v>
      </c>
      <c r="I508" s="7" t="s">
        <v>4060</v>
      </c>
      <c r="J508" s="7" t="s">
        <v>4061</v>
      </c>
      <c r="K508" s="7" t="s">
        <v>4062</v>
      </c>
      <c r="L508" s="7" t="s">
        <v>389</v>
      </c>
      <c r="M508" s="7" t="s">
        <v>4063</v>
      </c>
      <c r="N508" s="7" t="s">
        <v>236</v>
      </c>
      <c r="O508" s="6" t="s">
        <v>4064</v>
      </c>
    </row>
    <row r="509" customFormat="false" ht="21.75" hidden="false" customHeight="true" outlineLevel="0" collapsed="false">
      <c r="B509" s="4" t="s">
        <v>209</v>
      </c>
      <c r="C509" s="4" t="s">
        <v>180</v>
      </c>
      <c r="D509" s="4" t="s">
        <v>4065</v>
      </c>
      <c r="E509" s="9" t="n">
        <v>3</v>
      </c>
      <c r="F509" s="4" t="s">
        <v>28</v>
      </c>
      <c r="G509" s="5" t="s">
        <v>4066</v>
      </c>
      <c r="H509" s="5" t="s">
        <v>4067</v>
      </c>
      <c r="I509" s="5" t="s">
        <v>4068</v>
      </c>
      <c r="J509" s="5" t="s">
        <v>4069</v>
      </c>
      <c r="K509" s="5"/>
      <c r="L509" s="5"/>
      <c r="M509" s="5" t="s">
        <v>4070</v>
      </c>
      <c r="N509" s="5" t="s">
        <v>236</v>
      </c>
      <c r="O509" s="4" t="s">
        <v>4071</v>
      </c>
    </row>
    <row r="510" customFormat="false" ht="21.75" hidden="false" customHeight="true" outlineLevel="0" collapsed="false">
      <c r="B510" s="6" t="s">
        <v>209</v>
      </c>
      <c r="C510" s="6" t="s">
        <v>180</v>
      </c>
      <c r="D510" s="6" t="s">
        <v>4072</v>
      </c>
      <c r="E510" s="10" t="n">
        <v>3</v>
      </c>
      <c r="F510" s="6" t="s">
        <v>28</v>
      </c>
      <c r="G510" s="7" t="s">
        <v>4073</v>
      </c>
      <c r="H510" s="7" t="s">
        <v>4074</v>
      </c>
      <c r="I510" s="7" t="s">
        <v>4075</v>
      </c>
      <c r="J510" s="7" t="s">
        <v>4076</v>
      </c>
      <c r="K510" s="7" t="s">
        <v>4077</v>
      </c>
      <c r="L510" s="7" t="s">
        <v>291</v>
      </c>
      <c r="M510" s="7" t="s">
        <v>4078</v>
      </c>
      <c r="N510" s="7" t="s">
        <v>236</v>
      </c>
      <c r="O510" s="6" t="s">
        <v>4079</v>
      </c>
    </row>
    <row r="511" customFormat="false" ht="21.75" hidden="false" customHeight="true" outlineLevel="0" collapsed="false">
      <c r="B511" s="4" t="s">
        <v>209</v>
      </c>
      <c r="C511" s="4" t="s">
        <v>180</v>
      </c>
      <c r="D511" s="4" t="s">
        <v>4080</v>
      </c>
      <c r="E511" s="9" t="n">
        <v>3</v>
      </c>
      <c r="F511" s="4" t="s">
        <v>28</v>
      </c>
      <c r="G511" s="5" t="s">
        <v>4081</v>
      </c>
      <c r="H511" s="5" t="s">
        <v>4082</v>
      </c>
      <c r="I511" s="5" t="s">
        <v>4083</v>
      </c>
      <c r="J511" s="5" t="s">
        <v>4084</v>
      </c>
      <c r="K511" s="5"/>
      <c r="L511" s="5"/>
      <c r="M511" s="5" t="s">
        <v>4085</v>
      </c>
      <c r="N511" s="5" t="s">
        <v>236</v>
      </c>
      <c r="O511" s="4" t="s">
        <v>4086</v>
      </c>
    </row>
    <row r="512" customFormat="false" ht="21.75" hidden="false" customHeight="true" outlineLevel="0" collapsed="false">
      <c r="B512" s="6" t="s">
        <v>209</v>
      </c>
      <c r="C512" s="6" t="s">
        <v>180</v>
      </c>
      <c r="D512" s="6" t="s">
        <v>4087</v>
      </c>
      <c r="E512" s="10" t="n">
        <v>2</v>
      </c>
      <c r="F512" s="6" t="s">
        <v>26</v>
      </c>
      <c r="G512" s="7" t="s">
        <v>4088</v>
      </c>
      <c r="H512" s="7" t="s">
        <v>4089</v>
      </c>
      <c r="I512" s="7" t="s">
        <v>4090</v>
      </c>
      <c r="J512" s="7" t="s">
        <v>4091</v>
      </c>
      <c r="K512" s="7"/>
      <c r="L512" s="7"/>
      <c r="M512" s="7" t="s">
        <v>4092</v>
      </c>
      <c r="N512" s="7" t="s">
        <v>236</v>
      </c>
      <c r="O512" s="6" t="s">
        <v>4093</v>
      </c>
    </row>
    <row r="513" customFormat="false" ht="21.75" hidden="false" customHeight="true" outlineLevel="0" collapsed="false">
      <c r="B513" s="4" t="s">
        <v>209</v>
      </c>
      <c r="C513" s="4" t="s">
        <v>180</v>
      </c>
      <c r="D513" s="4" t="s">
        <v>4094</v>
      </c>
      <c r="E513" s="9" t="n">
        <v>4</v>
      </c>
      <c r="F513" s="4" t="s">
        <v>30</v>
      </c>
      <c r="G513" s="5" t="s">
        <v>4095</v>
      </c>
      <c r="H513" s="5" t="s">
        <v>4096</v>
      </c>
      <c r="I513" s="5" t="s">
        <v>4097</v>
      </c>
      <c r="J513" s="5" t="s">
        <v>4098</v>
      </c>
      <c r="K513" s="5" t="s">
        <v>4099</v>
      </c>
      <c r="L513" s="5" t="s">
        <v>244</v>
      </c>
      <c r="M513" s="5" t="s">
        <v>4100</v>
      </c>
      <c r="N513" s="5" t="s">
        <v>236</v>
      </c>
      <c r="O513" s="4" t="s">
        <v>4101</v>
      </c>
    </row>
    <row r="514" customFormat="false" ht="21.75" hidden="false" customHeight="true" outlineLevel="0" collapsed="false">
      <c r="B514" s="6" t="s">
        <v>209</v>
      </c>
      <c r="C514" s="6" t="s">
        <v>180</v>
      </c>
      <c r="D514" s="6" t="s">
        <v>4102</v>
      </c>
      <c r="E514" s="10" t="n">
        <v>1</v>
      </c>
      <c r="F514" s="6" t="s">
        <v>24</v>
      </c>
      <c r="G514" s="7" t="s">
        <v>4103</v>
      </c>
      <c r="H514" s="7" t="s">
        <v>4104</v>
      </c>
      <c r="I514" s="7" t="s">
        <v>4105</v>
      </c>
      <c r="J514" s="7" t="s">
        <v>4106</v>
      </c>
      <c r="K514" s="7"/>
      <c r="L514" s="7"/>
      <c r="M514" s="7" t="s">
        <v>4107</v>
      </c>
      <c r="N514" s="7" t="s">
        <v>236</v>
      </c>
      <c r="O514" s="6" t="s">
        <v>4108</v>
      </c>
    </row>
    <row r="515" customFormat="false" ht="21.75" hidden="false" customHeight="true" outlineLevel="0" collapsed="false">
      <c r="B515" s="4" t="s">
        <v>209</v>
      </c>
      <c r="C515" s="4" t="s">
        <v>180</v>
      </c>
      <c r="D515" s="4" t="s">
        <v>4109</v>
      </c>
      <c r="E515" s="9" t="n">
        <v>4</v>
      </c>
      <c r="F515" s="4" t="s">
        <v>30</v>
      </c>
      <c r="G515" s="5" t="s">
        <v>4110</v>
      </c>
      <c r="H515" s="5" t="s">
        <v>4111</v>
      </c>
      <c r="I515" s="5" t="s">
        <v>4112</v>
      </c>
      <c r="J515" s="5" t="s">
        <v>4113</v>
      </c>
      <c r="K515" s="5"/>
      <c r="L515" s="5"/>
      <c r="M515" s="5" t="s">
        <v>4114</v>
      </c>
      <c r="N515" s="5" t="s">
        <v>236</v>
      </c>
      <c r="O515" s="4" t="s">
        <v>4115</v>
      </c>
    </row>
    <row r="516" customFormat="false" ht="21.75" hidden="false" customHeight="true" outlineLevel="0" collapsed="false">
      <c r="B516" s="6" t="s">
        <v>213</v>
      </c>
      <c r="C516" s="6" t="s">
        <v>180</v>
      </c>
      <c r="D516" s="6" t="s">
        <v>4116</v>
      </c>
      <c r="E516" s="10" t="n">
        <v>0</v>
      </c>
      <c r="F516" s="6" t="s">
        <v>22</v>
      </c>
      <c r="G516" s="7" t="s">
        <v>4117</v>
      </c>
      <c r="H516" s="7" t="s">
        <v>4118</v>
      </c>
      <c r="I516" s="7" t="s">
        <v>4119</v>
      </c>
      <c r="J516" s="7" t="s">
        <v>4120</v>
      </c>
      <c r="K516" s="7" t="s">
        <v>4121</v>
      </c>
      <c r="L516" s="7" t="s">
        <v>335</v>
      </c>
      <c r="M516" s="7" t="s">
        <v>4122</v>
      </c>
      <c r="N516" s="7" t="s">
        <v>236</v>
      </c>
      <c r="O516" s="6" t="s">
        <v>4123</v>
      </c>
    </row>
    <row r="517" customFormat="false" ht="21.75" hidden="false" customHeight="true" outlineLevel="0" collapsed="false">
      <c r="B517" s="4" t="s">
        <v>213</v>
      </c>
      <c r="C517" s="4" t="s">
        <v>180</v>
      </c>
      <c r="D517" s="4" t="s">
        <v>4124</v>
      </c>
      <c r="E517" s="9" t="n">
        <v>4</v>
      </c>
      <c r="F517" s="4" t="s">
        <v>30</v>
      </c>
      <c r="G517" s="5" t="s">
        <v>4125</v>
      </c>
      <c r="H517" s="5" t="s">
        <v>4126</v>
      </c>
      <c r="I517" s="5" t="s">
        <v>4127</v>
      </c>
      <c r="J517" s="5" t="s">
        <v>4128</v>
      </c>
      <c r="K517" s="5" t="s">
        <v>4129</v>
      </c>
      <c r="L517" s="5" t="s">
        <v>389</v>
      </c>
      <c r="M517" s="5" t="s">
        <v>4130</v>
      </c>
      <c r="N517" s="5" t="s">
        <v>236</v>
      </c>
      <c r="O517" s="4" t="s">
        <v>4131</v>
      </c>
    </row>
    <row r="518" customFormat="false" ht="21.75" hidden="false" customHeight="true" outlineLevel="0" collapsed="false">
      <c r="B518" s="6" t="s">
        <v>213</v>
      </c>
      <c r="C518" s="6" t="s">
        <v>180</v>
      </c>
      <c r="D518" s="6" t="s">
        <v>4132</v>
      </c>
      <c r="E518" s="10" t="n">
        <v>1</v>
      </c>
      <c r="F518" s="6" t="s">
        <v>24</v>
      </c>
      <c r="G518" s="7" t="s">
        <v>4133</v>
      </c>
      <c r="H518" s="7" t="s">
        <v>4134</v>
      </c>
      <c r="I518" s="7" t="s">
        <v>4135</v>
      </c>
      <c r="J518" s="7" t="s">
        <v>4136</v>
      </c>
      <c r="K518" s="7"/>
      <c r="L518" s="7"/>
      <c r="M518" s="7" t="s">
        <v>4137</v>
      </c>
      <c r="N518" s="7" t="s">
        <v>236</v>
      </c>
      <c r="O518" s="6" t="s">
        <v>4138</v>
      </c>
    </row>
    <row r="519" customFormat="false" ht="21.75" hidden="false" customHeight="true" outlineLevel="0" collapsed="false">
      <c r="B519" s="4" t="s">
        <v>213</v>
      </c>
      <c r="C519" s="4" t="s">
        <v>180</v>
      </c>
      <c r="D519" s="4" t="s">
        <v>4139</v>
      </c>
      <c r="E519" s="9" t="n">
        <v>2</v>
      </c>
      <c r="F519" s="4" t="s">
        <v>26</v>
      </c>
      <c r="G519" s="5" t="s">
        <v>4140</v>
      </c>
      <c r="H519" s="5" t="s">
        <v>4141</v>
      </c>
      <c r="I519" s="5" t="s">
        <v>4142</v>
      </c>
      <c r="J519" s="5" t="s">
        <v>4143</v>
      </c>
      <c r="K519" s="5"/>
      <c r="L519" s="5"/>
      <c r="M519" s="5" t="s">
        <v>4144</v>
      </c>
      <c r="N519" s="5" t="s">
        <v>236</v>
      </c>
      <c r="O519" s="4" t="s">
        <v>4145</v>
      </c>
    </row>
    <row r="520" customFormat="false" ht="21.75" hidden="false" customHeight="true" outlineLevel="0" collapsed="false">
      <c r="B520" s="6" t="s">
        <v>213</v>
      </c>
      <c r="C520" s="6" t="s">
        <v>180</v>
      </c>
      <c r="D520" s="6" t="s">
        <v>4146</v>
      </c>
      <c r="E520" s="10" t="n">
        <v>2</v>
      </c>
      <c r="F520" s="6" t="s">
        <v>26</v>
      </c>
      <c r="G520" s="7" t="s">
        <v>4147</v>
      </c>
      <c r="H520" s="7" t="s">
        <v>4148</v>
      </c>
      <c r="I520" s="7" t="s">
        <v>4149</v>
      </c>
      <c r="J520" s="7" t="s">
        <v>4150</v>
      </c>
      <c r="K520" s="7"/>
      <c r="L520" s="7"/>
      <c r="M520" s="7" t="s">
        <v>4151</v>
      </c>
      <c r="N520" s="7" t="s">
        <v>236</v>
      </c>
      <c r="O520" s="6" t="s">
        <v>4152</v>
      </c>
    </row>
    <row r="521" customFormat="false" ht="21.75" hidden="false" customHeight="true" outlineLevel="0" collapsed="false">
      <c r="B521" s="4" t="s">
        <v>213</v>
      </c>
      <c r="C521" s="4" t="s">
        <v>180</v>
      </c>
      <c r="D521" s="4" t="s">
        <v>4153</v>
      </c>
      <c r="E521" s="9" t="n">
        <v>1</v>
      </c>
      <c r="F521" s="4" t="s">
        <v>24</v>
      </c>
      <c r="G521" s="5" t="s">
        <v>4154</v>
      </c>
      <c r="H521" s="5" t="s">
        <v>4155</v>
      </c>
      <c r="I521" s="5" t="s">
        <v>4135</v>
      </c>
      <c r="J521" s="5" t="s">
        <v>4156</v>
      </c>
      <c r="K521" s="5"/>
      <c r="L521" s="5"/>
      <c r="M521" s="5" t="s">
        <v>4157</v>
      </c>
      <c r="N521" s="5" t="s">
        <v>236</v>
      </c>
      <c r="O521" s="4" t="s">
        <v>4158</v>
      </c>
    </row>
    <row r="522" customFormat="false" ht="21.75" hidden="false" customHeight="true" outlineLevel="0" collapsed="false">
      <c r="B522" s="6" t="s">
        <v>213</v>
      </c>
      <c r="C522" s="6" t="s">
        <v>180</v>
      </c>
      <c r="D522" s="6" t="s">
        <v>4159</v>
      </c>
      <c r="E522" s="10" t="n">
        <v>2</v>
      </c>
      <c r="F522" s="6" t="s">
        <v>26</v>
      </c>
      <c r="G522" s="7" t="s">
        <v>4160</v>
      </c>
      <c r="H522" s="7" t="s">
        <v>4161</v>
      </c>
      <c r="I522" s="7" t="s">
        <v>4162</v>
      </c>
      <c r="J522" s="7" t="s">
        <v>4163</v>
      </c>
      <c r="K522" s="7"/>
      <c r="L522" s="7"/>
      <c r="M522" s="7" t="s">
        <v>4164</v>
      </c>
      <c r="N522" s="7" t="s">
        <v>236</v>
      </c>
      <c r="O522" s="6" t="s">
        <v>4165</v>
      </c>
    </row>
    <row r="523" customFormat="false" ht="21.75" hidden="false" customHeight="true" outlineLevel="0" collapsed="false">
      <c r="B523" s="4" t="s">
        <v>213</v>
      </c>
      <c r="C523" s="4" t="s">
        <v>180</v>
      </c>
      <c r="D523" s="4" t="s">
        <v>4166</v>
      </c>
      <c r="E523" s="9" t="n">
        <v>2</v>
      </c>
      <c r="F523" s="4" t="s">
        <v>26</v>
      </c>
      <c r="G523" s="5" t="s">
        <v>4167</v>
      </c>
      <c r="H523" s="5" t="s">
        <v>4168</v>
      </c>
      <c r="I523" s="5" t="s">
        <v>4169</v>
      </c>
      <c r="J523" s="5" t="s">
        <v>4170</v>
      </c>
      <c r="K523" s="5"/>
      <c r="L523" s="5"/>
      <c r="M523" s="5" t="s">
        <v>4171</v>
      </c>
      <c r="N523" s="5" t="s">
        <v>236</v>
      </c>
      <c r="O523" s="4" t="s">
        <v>4172</v>
      </c>
    </row>
    <row r="524" customFormat="false" ht="21.75" hidden="false" customHeight="true" outlineLevel="0" collapsed="false">
      <c r="B524" s="6" t="s">
        <v>213</v>
      </c>
      <c r="C524" s="6" t="s">
        <v>180</v>
      </c>
      <c r="D524" s="6" t="s">
        <v>4173</v>
      </c>
      <c r="E524" s="10" t="n">
        <v>1</v>
      </c>
      <c r="F524" s="6" t="s">
        <v>24</v>
      </c>
      <c r="G524" s="7" t="s">
        <v>4174</v>
      </c>
      <c r="H524" s="7" t="s">
        <v>4175</v>
      </c>
      <c r="I524" s="7" t="s">
        <v>4135</v>
      </c>
      <c r="J524" s="7" t="s">
        <v>4176</v>
      </c>
      <c r="K524" s="7"/>
      <c r="L524" s="7"/>
      <c r="M524" s="7" t="s">
        <v>4177</v>
      </c>
      <c r="N524" s="7" t="s">
        <v>236</v>
      </c>
      <c r="O524" s="6" t="s">
        <v>4178</v>
      </c>
    </row>
    <row r="525" customFormat="false" ht="21.75" hidden="false" customHeight="true" outlineLevel="0" collapsed="false">
      <c r="B525" s="4" t="s">
        <v>213</v>
      </c>
      <c r="C525" s="4" t="s">
        <v>180</v>
      </c>
      <c r="D525" s="4" t="s">
        <v>4179</v>
      </c>
      <c r="E525" s="9" t="n">
        <v>2</v>
      </c>
      <c r="F525" s="4" t="s">
        <v>26</v>
      </c>
      <c r="G525" s="5" t="s">
        <v>4180</v>
      </c>
      <c r="H525" s="5" t="s">
        <v>4181</v>
      </c>
      <c r="I525" s="5" t="s">
        <v>4182</v>
      </c>
      <c r="J525" s="5" t="s">
        <v>4183</v>
      </c>
      <c r="K525" s="5" t="s">
        <v>4184</v>
      </c>
      <c r="L525" s="5" t="s">
        <v>291</v>
      </c>
      <c r="M525" s="5" t="s">
        <v>4185</v>
      </c>
      <c r="N525" s="5" t="s">
        <v>236</v>
      </c>
      <c r="O525" s="4" t="s">
        <v>4186</v>
      </c>
    </row>
    <row r="526" customFormat="false" ht="21.75" hidden="false" customHeight="true" outlineLevel="0" collapsed="false">
      <c r="B526" s="6" t="s">
        <v>213</v>
      </c>
      <c r="C526" s="6" t="s">
        <v>180</v>
      </c>
      <c r="D526" s="6" t="s">
        <v>4187</v>
      </c>
      <c r="E526" s="10" t="n">
        <v>2</v>
      </c>
      <c r="F526" s="6" t="s">
        <v>26</v>
      </c>
      <c r="G526" s="7" t="s">
        <v>4188</v>
      </c>
      <c r="H526" s="7" t="s">
        <v>4189</v>
      </c>
      <c r="I526" s="7" t="s">
        <v>4190</v>
      </c>
      <c r="J526" s="7" t="s">
        <v>4191</v>
      </c>
      <c r="K526" s="7"/>
      <c r="L526" s="7"/>
      <c r="M526" s="7" t="s">
        <v>4192</v>
      </c>
      <c r="N526" s="7" t="s">
        <v>236</v>
      </c>
      <c r="O526" s="6" t="s">
        <v>4193</v>
      </c>
    </row>
    <row r="527" customFormat="false" ht="21.75" hidden="false" customHeight="true" outlineLevel="0" collapsed="false">
      <c r="B527" s="4" t="s">
        <v>213</v>
      </c>
      <c r="C527" s="4" t="s">
        <v>180</v>
      </c>
      <c r="D527" s="4" t="s">
        <v>4194</v>
      </c>
      <c r="E527" s="9" t="n">
        <v>1</v>
      </c>
      <c r="F527" s="4" t="s">
        <v>24</v>
      </c>
      <c r="G527" s="5" t="s">
        <v>4195</v>
      </c>
      <c r="H527" s="5" t="s">
        <v>4196</v>
      </c>
      <c r="I527" s="5" t="s">
        <v>4135</v>
      </c>
      <c r="J527" s="5" t="s">
        <v>4197</v>
      </c>
      <c r="K527" s="5"/>
      <c r="L527" s="5"/>
      <c r="M527" s="5" t="s">
        <v>4198</v>
      </c>
      <c r="N527" s="5" t="s">
        <v>236</v>
      </c>
      <c r="O527" s="4" t="s">
        <v>4199</v>
      </c>
    </row>
    <row r="528" customFormat="false" ht="21.75" hidden="false" customHeight="true" outlineLevel="0" collapsed="false">
      <c r="B528" s="6" t="s">
        <v>213</v>
      </c>
      <c r="C528" s="6" t="s">
        <v>180</v>
      </c>
      <c r="D528" s="6" t="s">
        <v>4200</v>
      </c>
      <c r="E528" s="10" t="n">
        <v>2</v>
      </c>
      <c r="F528" s="6" t="s">
        <v>26</v>
      </c>
      <c r="G528" s="7" t="s">
        <v>4201</v>
      </c>
      <c r="H528" s="7" t="s">
        <v>4202</v>
      </c>
      <c r="I528" s="7" t="s">
        <v>4203</v>
      </c>
      <c r="J528" s="7" t="s">
        <v>4204</v>
      </c>
      <c r="K528" s="7"/>
      <c r="L528" s="7"/>
      <c r="M528" s="7" t="s">
        <v>4205</v>
      </c>
      <c r="N528" s="7" t="s">
        <v>236</v>
      </c>
      <c r="O528" s="6" t="s">
        <v>4206</v>
      </c>
    </row>
    <row r="529" customFormat="false" ht="21.75" hidden="false" customHeight="true" outlineLevel="0" collapsed="false">
      <c r="B529" s="4" t="s">
        <v>213</v>
      </c>
      <c r="C529" s="4" t="s">
        <v>180</v>
      </c>
      <c r="D529" s="4" t="s">
        <v>4207</v>
      </c>
      <c r="E529" s="9" t="n">
        <v>2</v>
      </c>
      <c r="F529" s="4" t="s">
        <v>26</v>
      </c>
      <c r="G529" s="5" t="s">
        <v>4208</v>
      </c>
      <c r="H529" s="5" t="s">
        <v>4209</v>
      </c>
      <c r="I529" s="5" t="s">
        <v>4210</v>
      </c>
      <c r="J529" s="5" t="s">
        <v>4211</v>
      </c>
      <c r="K529" s="5"/>
      <c r="L529" s="5"/>
      <c r="M529" s="5" t="s">
        <v>4212</v>
      </c>
      <c r="N529" s="5" t="s">
        <v>236</v>
      </c>
      <c r="O529" s="4" t="s">
        <v>4213</v>
      </c>
    </row>
    <row r="530" customFormat="false" ht="21.75" hidden="false" customHeight="true" outlineLevel="0" collapsed="false">
      <c r="B530" s="6" t="s">
        <v>213</v>
      </c>
      <c r="C530" s="6" t="s">
        <v>180</v>
      </c>
      <c r="D530" s="6" t="s">
        <v>4214</v>
      </c>
      <c r="E530" s="10" t="n">
        <v>4</v>
      </c>
      <c r="F530" s="6" t="s">
        <v>30</v>
      </c>
      <c r="G530" s="7" t="s">
        <v>4215</v>
      </c>
      <c r="H530" s="7" t="s">
        <v>4216</v>
      </c>
      <c r="I530" s="7" t="s">
        <v>4217</v>
      </c>
      <c r="J530" s="7" t="s">
        <v>4218</v>
      </c>
      <c r="K530" s="7" t="s">
        <v>4219</v>
      </c>
      <c r="L530" s="7" t="s">
        <v>335</v>
      </c>
      <c r="M530" s="7" t="s">
        <v>4220</v>
      </c>
      <c r="N530" s="7" t="s">
        <v>236</v>
      </c>
      <c r="O530" s="6" t="s">
        <v>4221</v>
      </c>
    </row>
    <row r="531" customFormat="false" ht="21.75" hidden="false" customHeight="true" outlineLevel="0" collapsed="false">
      <c r="B531" s="4" t="s">
        <v>213</v>
      </c>
      <c r="C531" s="4" t="s">
        <v>180</v>
      </c>
      <c r="D531" s="4" t="s">
        <v>4222</v>
      </c>
      <c r="E531" s="9" t="n">
        <v>2</v>
      </c>
      <c r="F531" s="4" t="s">
        <v>26</v>
      </c>
      <c r="G531" s="5" t="s">
        <v>4223</v>
      </c>
      <c r="H531" s="5" t="s">
        <v>4224</v>
      </c>
      <c r="I531" s="5" t="s">
        <v>4225</v>
      </c>
      <c r="J531" s="5" t="s">
        <v>4226</v>
      </c>
      <c r="K531" s="5" t="s">
        <v>4227</v>
      </c>
      <c r="L531" s="5" t="s">
        <v>260</v>
      </c>
      <c r="M531" s="5" t="s">
        <v>4228</v>
      </c>
      <c r="N531" s="5" t="s">
        <v>236</v>
      </c>
      <c r="O531" s="4" t="s">
        <v>4229</v>
      </c>
    </row>
    <row r="532" customFormat="false" ht="21.75" hidden="false" customHeight="true" outlineLevel="0" collapsed="false">
      <c r="B532" s="6" t="s">
        <v>213</v>
      </c>
      <c r="C532" s="6" t="s">
        <v>180</v>
      </c>
      <c r="D532" s="6" t="s">
        <v>4230</v>
      </c>
      <c r="E532" s="10" t="n">
        <v>3</v>
      </c>
      <c r="F532" s="6" t="s">
        <v>28</v>
      </c>
      <c r="G532" s="7" t="s">
        <v>4231</v>
      </c>
      <c r="H532" s="7" t="s">
        <v>4232</v>
      </c>
      <c r="I532" s="7" t="s">
        <v>4233</v>
      </c>
      <c r="J532" s="7" t="s">
        <v>4234</v>
      </c>
      <c r="K532" s="7"/>
      <c r="L532" s="7"/>
      <c r="M532" s="7" t="s">
        <v>4235</v>
      </c>
      <c r="N532" s="7" t="s">
        <v>236</v>
      </c>
      <c r="O532" s="6" t="s">
        <v>4236</v>
      </c>
    </row>
  </sheetData>
  <mergeCells count="1">
    <mergeCell ref="B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4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19"/>
    <col collapsed="false" customWidth="true" hidden="false" outlineLevel="0" max="3" min="3" style="1" width="16"/>
    <col collapsed="false" customWidth="true" hidden="false" outlineLevel="0" max="4" min="4" style="1" width="7"/>
    <col collapsed="false" customWidth="true" hidden="false" outlineLevel="0" max="5" min="5" style="1" width="11"/>
    <col collapsed="false" customWidth="true" hidden="false" outlineLevel="0" max="7" min="6" style="1" width="13"/>
    <col collapsed="false" customWidth="true" hidden="false" outlineLevel="0" max="8" min="8" style="1" width="70"/>
  </cols>
  <sheetData>
    <row r="2" customFormat="false" ht="31.5" hidden="false" customHeight="true" outlineLevel="0" collapsed="false">
      <c r="B2" s="2" t="s">
        <v>4237</v>
      </c>
      <c r="C2" s="2"/>
      <c r="D2" s="2"/>
      <c r="E2" s="2"/>
      <c r="F2" s="2"/>
      <c r="G2" s="2"/>
      <c r="H2" s="2"/>
    </row>
    <row r="3" customFormat="false" ht="7.5" hidden="false" customHeight="true" outlineLevel="0" collapsed="false"/>
    <row r="4" customFormat="false" ht="27.75" hidden="false" customHeight="true" outlineLevel="0" collapsed="false">
      <c r="B4" s="3" t="s">
        <v>33</v>
      </c>
      <c r="C4" s="3" t="s">
        <v>218</v>
      </c>
      <c r="D4" s="3" t="s">
        <v>219</v>
      </c>
      <c r="E4" s="3" t="s">
        <v>220</v>
      </c>
      <c r="F4" s="3" t="s">
        <v>225</v>
      </c>
      <c r="G4" s="3" t="s">
        <v>4238</v>
      </c>
      <c r="H4" s="3" t="s">
        <v>224</v>
      </c>
    </row>
    <row r="5" customFormat="false" ht="21.75" hidden="false" customHeight="true" outlineLevel="0" collapsed="false">
      <c r="B5" s="4" t="s">
        <v>50</v>
      </c>
      <c r="C5" s="4" t="s">
        <v>228</v>
      </c>
      <c r="D5" s="9" t="n">
        <v>0</v>
      </c>
      <c r="E5" s="4" t="s">
        <v>22</v>
      </c>
      <c r="F5" s="4" t="s">
        <v>234</v>
      </c>
      <c r="G5" s="5" t="s">
        <v>4239</v>
      </c>
      <c r="H5" s="4" t="s">
        <v>233</v>
      </c>
    </row>
    <row r="6" customFormat="false" ht="21.75" hidden="false" customHeight="true" outlineLevel="0" collapsed="false">
      <c r="B6" s="6" t="s">
        <v>50</v>
      </c>
      <c r="C6" s="6" t="s">
        <v>238</v>
      </c>
      <c r="D6" s="10" t="n">
        <v>0</v>
      </c>
      <c r="E6" s="6" t="s">
        <v>22</v>
      </c>
      <c r="F6" s="6" t="s">
        <v>244</v>
      </c>
      <c r="G6" s="7" t="s">
        <v>4239</v>
      </c>
      <c r="H6" s="6" t="s">
        <v>243</v>
      </c>
    </row>
    <row r="7" customFormat="false" ht="21.75" hidden="false" customHeight="true" outlineLevel="0" collapsed="false">
      <c r="B7" s="4" t="s">
        <v>50</v>
      </c>
      <c r="C7" s="4" t="s">
        <v>246</v>
      </c>
      <c r="D7" s="9" t="n">
        <v>0</v>
      </c>
      <c r="E7" s="4" t="s">
        <v>22</v>
      </c>
      <c r="F7" s="4" t="s">
        <v>234</v>
      </c>
      <c r="G7" s="5" t="s">
        <v>4239</v>
      </c>
      <c r="H7" s="4" t="s">
        <v>251</v>
      </c>
    </row>
    <row r="8" customFormat="false" ht="21.75" hidden="false" customHeight="true" outlineLevel="0" collapsed="false">
      <c r="B8" s="6" t="s">
        <v>50</v>
      </c>
      <c r="C8" s="6" t="s">
        <v>254</v>
      </c>
      <c r="D8" s="10" t="n">
        <v>0</v>
      </c>
      <c r="E8" s="6" t="s">
        <v>22</v>
      </c>
      <c r="F8" s="6" t="s">
        <v>260</v>
      </c>
      <c r="G8" s="7" t="s">
        <v>4239</v>
      </c>
      <c r="H8" s="6" t="s">
        <v>259</v>
      </c>
    </row>
    <row r="9" customFormat="false" ht="21.75" hidden="false" customHeight="true" outlineLevel="0" collapsed="false">
      <c r="B9" s="4" t="s">
        <v>50</v>
      </c>
      <c r="C9" s="4" t="s">
        <v>263</v>
      </c>
      <c r="D9" s="9" t="n">
        <v>1</v>
      </c>
      <c r="E9" s="4" t="s">
        <v>24</v>
      </c>
      <c r="F9" s="4" t="s">
        <v>244</v>
      </c>
      <c r="G9" s="5" t="s">
        <v>4239</v>
      </c>
      <c r="H9" s="4" t="s">
        <v>268</v>
      </c>
    </row>
    <row r="10" customFormat="false" ht="21.75" hidden="false" customHeight="true" outlineLevel="0" collapsed="false">
      <c r="B10" s="6" t="s">
        <v>50</v>
      </c>
      <c r="C10" s="6" t="s">
        <v>270</v>
      </c>
      <c r="D10" s="10" t="n">
        <v>1</v>
      </c>
      <c r="E10" s="6" t="s">
        <v>24</v>
      </c>
      <c r="F10" s="6" t="s">
        <v>234</v>
      </c>
      <c r="G10" s="7" t="s">
        <v>4239</v>
      </c>
      <c r="H10" s="6" t="s">
        <v>275</v>
      </c>
    </row>
    <row r="11" customFormat="false" ht="21.75" hidden="false" customHeight="true" outlineLevel="0" collapsed="false">
      <c r="B11" s="4" t="s">
        <v>50</v>
      </c>
      <c r="C11" s="4" t="s">
        <v>278</v>
      </c>
      <c r="D11" s="9" t="n">
        <v>1</v>
      </c>
      <c r="E11" s="4" t="s">
        <v>24</v>
      </c>
      <c r="F11" s="4" t="s">
        <v>234</v>
      </c>
      <c r="G11" s="5" t="s">
        <v>4239</v>
      </c>
      <c r="H11" s="4" t="s">
        <v>283</v>
      </c>
    </row>
    <row r="12" customFormat="false" ht="21.75" hidden="false" customHeight="true" outlineLevel="0" collapsed="false">
      <c r="B12" s="6" t="s">
        <v>50</v>
      </c>
      <c r="C12" s="6" t="s">
        <v>285</v>
      </c>
      <c r="D12" s="10" t="n">
        <v>2</v>
      </c>
      <c r="E12" s="6" t="s">
        <v>26</v>
      </c>
      <c r="F12" s="6" t="s">
        <v>291</v>
      </c>
      <c r="G12" s="7" t="s">
        <v>4239</v>
      </c>
      <c r="H12" s="6" t="s">
        <v>290</v>
      </c>
    </row>
    <row r="13" customFormat="false" ht="21.75" hidden="false" customHeight="true" outlineLevel="0" collapsed="false">
      <c r="B13" s="4" t="s">
        <v>50</v>
      </c>
      <c r="C13" s="4" t="s">
        <v>294</v>
      </c>
      <c r="D13" s="9" t="n">
        <v>1</v>
      </c>
      <c r="E13" s="4" t="s">
        <v>24</v>
      </c>
      <c r="F13" s="4" t="s">
        <v>244</v>
      </c>
      <c r="G13" s="5" t="s">
        <v>4239</v>
      </c>
      <c r="H13" s="4" t="s">
        <v>299</v>
      </c>
    </row>
    <row r="14" customFormat="false" ht="21.75" hidden="false" customHeight="true" outlineLevel="0" collapsed="false">
      <c r="B14" s="6" t="s">
        <v>50</v>
      </c>
      <c r="C14" s="6" t="s">
        <v>301</v>
      </c>
      <c r="D14" s="10" t="n">
        <v>1</v>
      </c>
      <c r="E14" s="6" t="s">
        <v>24</v>
      </c>
      <c r="F14" s="6" t="s">
        <v>244</v>
      </c>
      <c r="G14" s="7" t="s">
        <v>4239</v>
      </c>
      <c r="H14" s="6" t="s">
        <v>306</v>
      </c>
    </row>
    <row r="15" customFormat="false" ht="21.75" hidden="false" customHeight="true" outlineLevel="0" collapsed="false">
      <c r="B15" s="4" t="s">
        <v>50</v>
      </c>
      <c r="C15" s="4" t="s">
        <v>308</v>
      </c>
      <c r="D15" s="9" t="n">
        <v>1</v>
      </c>
      <c r="E15" s="4" t="s">
        <v>24</v>
      </c>
      <c r="F15" s="4" t="s">
        <v>234</v>
      </c>
      <c r="G15" s="5" t="s">
        <v>4239</v>
      </c>
      <c r="H15" s="4" t="s">
        <v>313</v>
      </c>
    </row>
    <row r="16" customFormat="false" ht="21.75" hidden="false" customHeight="true" outlineLevel="0" collapsed="false">
      <c r="B16" s="6" t="s">
        <v>50</v>
      </c>
      <c r="C16" s="6" t="s">
        <v>315</v>
      </c>
      <c r="D16" s="10" t="n">
        <v>1</v>
      </c>
      <c r="E16" s="6" t="s">
        <v>24</v>
      </c>
      <c r="F16" s="6" t="s">
        <v>244</v>
      </c>
      <c r="G16" s="7" t="s">
        <v>4239</v>
      </c>
      <c r="H16" s="6" t="s">
        <v>320</v>
      </c>
    </row>
    <row r="17" customFormat="false" ht="21.75" hidden="false" customHeight="true" outlineLevel="0" collapsed="false">
      <c r="B17" s="4" t="s">
        <v>50</v>
      </c>
      <c r="C17" s="4" t="s">
        <v>329</v>
      </c>
      <c r="D17" s="9" t="n">
        <v>1</v>
      </c>
      <c r="E17" s="4" t="s">
        <v>24</v>
      </c>
      <c r="F17" s="4" t="s">
        <v>335</v>
      </c>
      <c r="G17" s="5" t="s">
        <v>4239</v>
      </c>
      <c r="H17" s="4" t="s">
        <v>334</v>
      </c>
    </row>
    <row r="18" customFormat="false" ht="21.75" hidden="false" customHeight="true" outlineLevel="0" collapsed="false">
      <c r="B18" s="6" t="s">
        <v>50</v>
      </c>
      <c r="C18" s="6" t="s">
        <v>338</v>
      </c>
      <c r="D18" s="10" t="n">
        <v>3</v>
      </c>
      <c r="E18" s="6" t="s">
        <v>28</v>
      </c>
      <c r="F18" s="6" t="s">
        <v>244</v>
      </c>
      <c r="G18" s="7" t="s">
        <v>4239</v>
      </c>
      <c r="H18" s="6" t="s">
        <v>343</v>
      </c>
    </row>
    <row r="19" customFormat="false" ht="21.75" hidden="false" customHeight="true" outlineLevel="0" collapsed="false">
      <c r="B19" s="4" t="s">
        <v>50</v>
      </c>
      <c r="C19" s="4" t="s">
        <v>346</v>
      </c>
      <c r="D19" s="9" t="n">
        <v>2</v>
      </c>
      <c r="E19" s="4" t="s">
        <v>26</v>
      </c>
      <c r="F19" s="4" t="s">
        <v>234</v>
      </c>
      <c r="G19" s="5" t="s">
        <v>4239</v>
      </c>
      <c r="H19" s="4" t="s">
        <v>351</v>
      </c>
    </row>
    <row r="20" customFormat="false" ht="21.75" hidden="false" customHeight="true" outlineLevel="0" collapsed="false">
      <c r="B20" s="6" t="s">
        <v>50</v>
      </c>
      <c r="C20" s="6" t="s">
        <v>353</v>
      </c>
      <c r="D20" s="10" t="n">
        <v>4</v>
      </c>
      <c r="E20" s="6" t="s">
        <v>30</v>
      </c>
      <c r="F20" s="6" t="s">
        <v>335</v>
      </c>
      <c r="G20" s="7" t="s">
        <v>4239</v>
      </c>
      <c r="H20" s="6" t="s">
        <v>358</v>
      </c>
    </row>
    <row r="21" customFormat="false" ht="21.75" hidden="false" customHeight="true" outlineLevel="0" collapsed="false">
      <c r="B21" s="4" t="s">
        <v>50</v>
      </c>
      <c r="C21" s="4" t="s">
        <v>360</v>
      </c>
      <c r="D21" s="9" t="n">
        <v>4</v>
      </c>
      <c r="E21" s="4" t="s">
        <v>30</v>
      </c>
      <c r="F21" s="4" t="s">
        <v>335</v>
      </c>
      <c r="G21" s="5" t="s">
        <v>4239</v>
      </c>
      <c r="H21" s="4" t="s">
        <v>365</v>
      </c>
    </row>
    <row r="22" customFormat="false" ht="21.75" hidden="false" customHeight="true" outlineLevel="0" collapsed="false">
      <c r="B22" s="6" t="s">
        <v>50</v>
      </c>
      <c r="C22" s="6" t="s">
        <v>367</v>
      </c>
      <c r="D22" s="10" t="n">
        <v>4</v>
      </c>
      <c r="E22" s="6" t="s">
        <v>30</v>
      </c>
      <c r="F22" s="6" t="s">
        <v>244</v>
      </c>
      <c r="G22" s="7" t="s">
        <v>4239</v>
      </c>
      <c r="H22" s="6" t="s">
        <v>372</v>
      </c>
    </row>
    <row r="23" customFormat="false" ht="21.75" hidden="false" customHeight="true" outlineLevel="0" collapsed="false">
      <c r="B23" s="4" t="s">
        <v>50</v>
      </c>
      <c r="C23" s="4" t="s">
        <v>375</v>
      </c>
      <c r="D23" s="9" t="n">
        <v>4</v>
      </c>
      <c r="E23" s="4" t="s">
        <v>30</v>
      </c>
      <c r="F23" s="4" t="s">
        <v>234</v>
      </c>
      <c r="G23" s="5" t="s">
        <v>4239</v>
      </c>
      <c r="H23" s="4" t="s">
        <v>380</v>
      </c>
    </row>
    <row r="24" customFormat="false" ht="21.75" hidden="false" customHeight="true" outlineLevel="0" collapsed="false">
      <c r="B24" s="6" t="s">
        <v>50</v>
      </c>
      <c r="C24" s="6" t="s">
        <v>383</v>
      </c>
      <c r="D24" s="10" t="n">
        <v>2</v>
      </c>
      <c r="E24" s="6" t="s">
        <v>26</v>
      </c>
      <c r="F24" s="6" t="s">
        <v>389</v>
      </c>
      <c r="G24" s="7" t="s">
        <v>4239</v>
      </c>
      <c r="H24" s="6" t="s">
        <v>388</v>
      </c>
    </row>
    <row r="25" customFormat="false" ht="21.75" hidden="false" customHeight="true" outlineLevel="0" collapsed="false">
      <c r="B25" s="4" t="s">
        <v>50</v>
      </c>
      <c r="C25" s="4" t="s">
        <v>392</v>
      </c>
      <c r="D25" s="9" t="n">
        <v>3</v>
      </c>
      <c r="E25" s="4" t="s">
        <v>28</v>
      </c>
      <c r="F25" s="4" t="s">
        <v>234</v>
      </c>
      <c r="G25" s="5" t="s">
        <v>4239</v>
      </c>
      <c r="H25" s="4" t="s">
        <v>397</v>
      </c>
    </row>
    <row r="26" customFormat="false" ht="21.75" hidden="false" customHeight="true" outlineLevel="0" collapsed="false">
      <c r="B26" s="6" t="s">
        <v>56</v>
      </c>
      <c r="C26" s="6" t="s">
        <v>399</v>
      </c>
      <c r="D26" s="10" t="n">
        <v>0</v>
      </c>
      <c r="E26" s="6" t="s">
        <v>22</v>
      </c>
      <c r="F26" s="6" t="s">
        <v>244</v>
      </c>
      <c r="G26" s="7" t="s">
        <v>4239</v>
      </c>
      <c r="H26" s="6" t="s">
        <v>404</v>
      </c>
    </row>
    <row r="27" customFormat="false" ht="21.75" hidden="false" customHeight="true" outlineLevel="0" collapsed="false">
      <c r="B27" s="4" t="s">
        <v>56</v>
      </c>
      <c r="C27" s="4" t="s">
        <v>407</v>
      </c>
      <c r="D27" s="9" t="n">
        <v>0</v>
      </c>
      <c r="E27" s="4" t="s">
        <v>22</v>
      </c>
      <c r="F27" s="4" t="s">
        <v>244</v>
      </c>
      <c r="G27" s="5" t="s">
        <v>4239</v>
      </c>
      <c r="H27" s="4" t="s">
        <v>412</v>
      </c>
    </row>
    <row r="28" customFormat="false" ht="21.75" hidden="false" customHeight="true" outlineLevel="0" collapsed="false">
      <c r="B28" s="6" t="s">
        <v>56</v>
      </c>
      <c r="C28" s="6" t="s">
        <v>432</v>
      </c>
      <c r="D28" s="10" t="n">
        <v>1</v>
      </c>
      <c r="E28" s="6" t="s">
        <v>24</v>
      </c>
      <c r="F28" s="6" t="s">
        <v>234</v>
      </c>
      <c r="G28" s="7" t="s">
        <v>4239</v>
      </c>
      <c r="H28" s="6" t="s">
        <v>437</v>
      </c>
    </row>
    <row r="29" customFormat="false" ht="21.75" hidden="false" customHeight="true" outlineLevel="0" collapsed="false">
      <c r="B29" s="4" t="s">
        <v>56</v>
      </c>
      <c r="C29" s="4" t="s">
        <v>440</v>
      </c>
      <c r="D29" s="9" t="n">
        <v>1</v>
      </c>
      <c r="E29" s="4" t="s">
        <v>24</v>
      </c>
      <c r="F29" s="4" t="s">
        <v>234</v>
      </c>
      <c r="G29" s="5" t="s">
        <v>4239</v>
      </c>
      <c r="H29" s="4" t="s">
        <v>445</v>
      </c>
    </row>
    <row r="30" customFormat="false" ht="21.75" hidden="false" customHeight="true" outlineLevel="0" collapsed="false">
      <c r="B30" s="6" t="s">
        <v>56</v>
      </c>
      <c r="C30" s="6" t="s">
        <v>448</v>
      </c>
      <c r="D30" s="10" t="n">
        <v>1</v>
      </c>
      <c r="E30" s="6" t="s">
        <v>24</v>
      </c>
      <c r="F30" s="6" t="s">
        <v>234</v>
      </c>
      <c r="G30" s="7" t="s">
        <v>4239</v>
      </c>
      <c r="H30" s="6" t="s">
        <v>453</v>
      </c>
    </row>
    <row r="31" customFormat="false" ht="21.75" hidden="false" customHeight="true" outlineLevel="0" collapsed="false">
      <c r="B31" s="4" t="s">
        <v>56</v>
      </c>
      <c r="C31" s="4" t="s">
        <v>455</v>
      </c>
      <c r="D31" s="9" t="n">
        <v>0</v>
      </c>
      <c r="E31" s="4" t="s">
        <v>22</v>
      </c>
      <c r="F31" s="4" t="s">
        <v>244</v>
      </c>
      <c r="G31" s="5" t="s">
        <v>4239</v>
      </c>
      <c r="H31" s="4" t="s">
        <v>460</v>
      </c>
    </row>
    <row r="32" customFormat="false" ht="21.75" hidden="false" customHeight="true" outlineLevel="0" collapsed="false">
      <c r="B32" s="6" t="s">
        <v>56</v>
      </c>
      <c r="C32" s="6" t="s">
        <v>463</v>
      </c>
      <c r="D32" s="10" t="n">
        <v>1</v>
      </c>
      <c r="E32" s="6" t="s">
        <v>24</v>
      </c>
      <c r="F32" s="6" t="s">
        <v>469</v>
      </c>
      <c r="G32" s="7" t="s">
        <v>4239</v>
      </c>
      <c r="H32" s="6" t="s">
        <v>468</v>
      </c>
    </row>
    <row r="33" customFormat="false" ht="21.75" hidden="false" customHeight="true" outlineLevel="0" collapsed="false">
      <c r="B33" s="4" t="s">
        <v>56</v>
      </c>
      <c r="C33" s="4" t="s">
        <v>472</v>
      </c>
      <c r="D33" s="9" t="n">
        <v>1</v>
      </c>
      <c r="E33" s="4" t="s">
        <v>24</v>
      </c>
      <c r="F33" s="4" t="s">
        <v>234</v>
      </c>
      <c r="G33" s="5" t="s">
        <v>4239</v>
      </c>
      <c r="H33" s="4" t="s">
        <v>477</v>
      </c>
    </row>
    <row r="34" customFormat="false" ht="21.75" hidden="false" customHeight="true" outlineLevel="0" collapsed="false">
      <c r="B34" s="6" t="s">
        <v>56</v>
      </c>
      <c r="C34" s="6" t="s">
        <v>479</v>
      </c>
      <c r="D34" s="10" t="n">
        <v>2</v>
      </c>
      <c r="E34" s="6" t="s">
        <v>26</v>
      </c>
      <c r="F34" s="6" t="s">
        <v>234</v>
      </c>
      <c r="G34" s="7" t="s">
        <v>4239</v>
      </c>
      <c r="H34" s="6" t="s">
        <v>484</v>
      </c>
    </row>
    <row r="35" customFormat="false" ht="21.75" hidden="false" customHeight="true" outlineLevel="0" collapsed="false">
      <c r="B35" s="4" t="s">
        <v>56</v>
      </c>
      <c r="C35" s="4" t="s">
        <v>487</v>
      </c>
      <c r="D35" s="9" t="n">
        <v>4</v>
      </c>
      <c r="E35" s="4" t="s">
        <v>30</v>
      </c>
      <c r="F35" s="4" t="s">
        <v>335</v>
      </c>
      <c r="G35" s="5" t="s">
        <v>4239</v>
      </c>
      <c r="H35" s="4" t="s">
        <v>492</v>
      </c>
    </row>
    <row r="36" customFormat="false" ht="21.75" hidden="false" customHeight="true" outlineLevel="0" collapsed="false">
      <c r="B36" s="6" t="s">
        <v>56</v>
      </c>
      <c r="C36" s="6" t="s">
        <v>495</v>
      </c>
      <c r="D36" s="10" t="n">
        <v>4</v>
      </c>
      <c r="E36" s="6" t="s">
        <v>30</v>
      </c>
      <c r="F36" s="6" t="s">
        <v>234</v>
      </c>
      <c r="G36" s="7" t="s">
        <v>4239</v>
      </c>
      <c r="H36" s="6" t="s">
        <v>500</v>
      </c>
    </row>
    <row r="37" customFormat="false" ht="21.75" hidden="false" customHeight="true" outlineLevel="0" collapsed="false">
      <c r="B37" s="4" t="s">
        <v>56</v>
      </c>
      <c r="C37" s="4" t="s">
        <v>503</v>
      </c>
      <c r="D37" s="9" t="n">
        <v>2</v>
      </c>
      <c r="E37" s="4" t="s">
        <v>26</v>
      </c>
      <c r="F37" s="4" t="s">
        <v>389</v>
      </c>
      <c r="G37" s="5" t="s">
        <v>4239</v>
      </c>
      <c r="H37" s="4" t="s">
        <v>508</v>
      </c>
    </row>
    <row r="38" customFormat="false" ht="21.75" hidden="false" customHeight="true" outlineLevel="0" collapsed="false">
      <c r="B38" s="6" t="s">
        <v>56</v>
      </c>
      <c r="C38" s="6" t="s">
        <v>511</v>
      </c>
      <c r="D38" s="10" t="n">
        <v>4</v>
      </c>
      <c r="E38" s="6" t="s">
        <v>30</v>
      </c>
      <c r="F38" s="6" t="s">
        <v>234</v>
      </c>
      <c r="G38" s="7" t="s">
        <v>4239</v>
      </c>
      <c r="H38" s="6" t="s">
        <v>516</v>
      </c>
    </row>
    <row r="39" customFormat="false" ht="21.75" hidden="false" customHeight="true" outlineLevel="0" collapsed="false">
      <c r="B39" s="4" t="s">
        <v>56</v>
      </c>
      <c r="C39" s="4" t="s">
        <v>519</v>
      </c>
      <c r="D39" s="9" t="n">
        <v>4</v>
      </c>
      <c r="E39" s="4" t="s">
        <v>30</v>
      </c>
      <c r="F39" s="4" t="s">
        <v>234</v>
      </c>
      <c r="G39" s="5" t="s">
        <v>4239</v>
      </c>
      <c r="H39" s="4" t="s">
        <v>524</v>
      </c>
    </row>
    <row r="40" customFormat="false" ht="21.75" hidden="false" customHeight="true" outlineLevel="0" collapsed="false">
      <c r="B40" s="6" t="s">
        <v>56</v>
      </c>
      <c r="C40" s="6" t="s">
        <v>526</v>
      </c>
      <c r="D40" s="10" t="n">
        <v>3</v>
      </c>
      <c r="E40" s="6" t="s">
        <v>28</v>
      </c>
      <c r="F40" s="6" t="s">
        <v>389</v>
      </c>
      <c r="G40" s="7" t="s">
        <v>4239</v>
      </c>
      <c r="H40" s="6" t="s">
        <v>531</v>
      </c>
    </row>
    <row r="41" customFormat="false" ht="21.75" hidden="false" customHeight="true" outlineLevel="0" collapsed="false">
      <c r="B41" s="4" t="s">
        <v>62</v>
      </c>
      <c r="C41" s="4" t="s">
        <v>534</v>
      </c>
      <c r="D41" s="9" t="n">
        <v>0</v>
      </c>
      <c r="E41" s="4" t="s">
        <v>22</v>
      </c>
      <c r="F41" s="4" t="s">
        <v>389</v>
      </c>
      <c r="G41" s="5" t="s">
        <v>4239</v>
      </c>
      <c r="H41" s="4" t="s">
        <v>539</v>
      </c>
    </row>
    <row r="42" customFormat="false" ht="21.75" hidden="false" customHeight="true" outlineLevel="0" collapsed="false">
      <c r="B42" s="6" t="s">
        <v>62</v>
      </c>
      <c r="C42" s="6" t="s">
        <v>554</v>
      </c>
      <c r="D42" s="10" t="n">
        <v>2</v>
      </c>
      <c r="E42" s="6" t="s">
        <v>26</v>
      </c>
      <c r="F42" s="6" t="s">
        <v>389</v>
      </c>
      <c r="G42" s="7" t="s">
        <v>4239</v>
      </c>
      <c r="H42" s="6" t="s">
        <v>559</v>
      </c>
    </row>
    <row r="43" customFormat="false" ht="21.75" hidden="false" customHeight="true" outlineLevel="0" collapsed="false">
      <c r="B43" s="4" t="s">
        <v>62</v>
      </c>
      <c r="C43" s="4" t="s">
        <v>562</v>
      </c>
      <c r="D43" s="9" t="n">
        <v>0</v>
      </c>
      <c r="E43" s="4" t="s">
        <v>22</v>
      </c>
      <c r="F43" s="4" t="s">
        <v>244</v>
      </c>
      <c r="G43" s="5" t="s">
        <v>4239</v>
      </c>
      <c r="H43" s="4" t="s">
        <v>567</v>
      </c>
    </row>
    <row r="44" customFormat="false" ht="21.75" hidden="false" customHeight="true" outlineLevel="0" collapsed="false">
      <c r="B44" s="6" t="s">
        <v>62</v>
      </c>
      <c r="C44" s="6" t="s">
        <v>569</v>
      </c>
      <c r="D44" s="10" t="n">
        <v>2</v>
      </c>
      <c r="E44" s="6" t="s">
        <v>26</v>
      </c>
      <c r="F44" s="6" t="s">
        <v>389</v>
      </c>
      <c r="G44" s="7" t="s">
        <v>4239</v>
      </c>
      <c r="H44" s="6" t="s">
        <v>574</v>
      </c>
    </row>
    <row r="45" customFormat="false" ht="21.75" hidden="false" customHeight="true" outlineLevel="0" collapsed="false">
      <c r="B45" s="4" t="s">
        <v>62</v>
      </c>
      <c r="C45" s="4" t="s">
        <v>577</v>
      </c>
      <c r="D45" s="9" t="n">
        <v>2</v>
      </c>
      <c r="E45" s="4" t="s">
        <v>26</v>
      </c>
      <c r="F45" s="4" t="s">
        <v>260</v>
      </c>
      <c r="G45" s="5" t="s">
        <v>4239</v>
      </c>
      <c r="H45" s="4" t="s">
        <v>582</v>
      </c>
    </row>
    <row r="46" customFormat="false" ht="21.75" hidden="false" customHeight="true" outlineLevel="0" collapsed="false">
      <c r="B46" s="6" t="s">
        <v>62</v>
      </c>
      <c r="C46" s="6" t="s">
        <v>584</v>
      </c>
      <c r="D46" s="10" t="n">
        <v>2</v>
      </c>
      <c r="E46" s="6" t="s">
        <v>26</v>
      </c>
      <c r="F46" s="6" t="s">
        <v>260</v>
      </c>
      <c r="G46" s="7" t="s">
        <v>4239</v>
      </c>
      <c r="H46" s="6" t="s">
        <v>589</v>
      </c>
    </row>
    <row r="47" customFormat="false" ht="21.75" hidden="false" customHeight="true" outlineLevel="0" collapsed="false">
      <c r="B47" s="4" t="s">
        <v>62</v>
      </c>
      <c r="C47" s="4" t="s">
        <v>592</v>
      </c>
      <c r="D47" s="9" t="n">
        <v>1</v>
      </c>
      <c r="E47" s="4" t="s">
        <v>24</v>
      </c>
      <c r="F47" s="4" t="s">
        <v>469</v>
      </c>
      <c r="G47" s="5" t="s">
        <v>4239</v>
      </c>
      <c r="H47" s="4" t="s">
        <v>597</v>
      </c>
    </row>
    <row r="48" customFormat="false" ht="21.75" hidden="false" customHeight="true" outlineLevel="0" collapsed="false">
      <c r="B48" s="6" t="s">
        <v>62</v>
      </c>
      <c r="C48" s="6" t="s">
        <v>599</v>
      </c>
      <c r="D48" s="10" t="n">
        <v>2</v>
      </c>
      <c r="E48" s="6" t="s">
        <v>26</v>
      </c>
      <c r="F48" s="6" t="s">
        <v>244</v>
      </c>
      <c r="G48" s="7" t="s">
        <v>4239</v>
      </c>
      <c r="H48" s="6" t="s">
        <v>604</v>
      </c>
    </row>
    <row r="49" customFormat="false" ht="21.75" hidden="false" customHeight="true" outlineLevel="0" collapsed="false">
      <c r="B49" s="4" t="s">
        <v>62</v>
      </c>
      <c r="C49" s="4" t="s">
        <v>607</v>
      </c>
      <c r="D49" s="9" t="n">
        <v>1</v>
      </c>
      <c r="E49" s="4" t="s">
        <v>24</v>
      </c>
      <c r="F49" s="4" t="s">
        <v>260</v>
      </c>
      <c r="G49" s="5" t="s">
        <v>4239</v>
      </c>
      <c r="H49" s="4" t="s">
        <v>612</v>
      </c>
    </row>
    <row r="50" customFormat="false" ht="21.75" hidden="false" customHeight="true" outlineLevel="0" collapsed="false">
      <c r="B50" s="6" t="s">
        <v>62</v>
      </c>
      <c r="C50" s="6" t="s">
        <v>615</v>
      </c>
      <c r="D50" s="10" t="n">
        <v>1</v>
      </c>
      <c r="E50" s="6" t="s">
        <v>24</v>
      </c>
      <c r="F50" s="6" t="s">
        <v>234</v>
      </c>
      <c r="G50" s="7" t="s">
        <v>4239</v>
      </c>
      <c r="H50" s="6" t="s">
        <v>620</v>
      </c>
    </row>
    <row r="51" customFormat="false" ht="21.75" hidden="false" customHeight="true" outlineLevel="0" collapsed="false">
      <c r="B51" s="4" t="s">
        <v>62</v>
      </c>
      <c r="C51" s="4" t="s">
        <v>622</v>
      </c>
      <c r="D51" s="9" t="n">
        <v>2</v>
      </c>
      <c r="E51" s="4" t="s">
        <v>26</v>
      </c>
      <c r="F51" s="4" t="s">
        <v>389</v>
      </c>
      <c r="G51" s="5" t="s">
        <v>4239</v>
      </c>
      <c r="H51" s="4" t="s">
        <v>627</v>
      </c>
    </row>
    <row r="52" customFormat="false" ht="21.75" hidden="false" customHeight="true" outlineLevel="0" collapsed="false">
      <c r="B52" s="6" t="s">
        <v>62</v>
      </c>
      <c r="C52" s="6" t="s">
        <v>629</v>
      </c>
      <c r="D52" s="10" t="n">
        <v>4</v>
      </c>
      <c r="E52" s="6" t="s">
        <v>30</v>
      </c>
      <c r="F52" s="6" t="s">
        <v>234</v>
      </c>
      <c r="G52" s="7" t="s">
        <v>4239</v>
      </c>
      <c r="H52" s="6" t="s">
        <v>634</v>
      </c>
    </row>
    <row r="53" customFormat="false" ht="21.75" hidden="false" customHeight="true" outlineLevel="0" collapsed="false">
      <c r="B53" s="4" t="s">
        <v>62</v>
      </c>
      <c r="C53" s="4" t="s">
        <v>636</v>
      </c>
      <c r="D53" s="9" t="n">
        <v>0</v>
      </c>
      <c r="E53" s="4" t="s">
        <v>22</v>
      </c>
      <c r="F53" s="4" t="s">
        <v>244</v>
      </c>
      <c r="G53" s="5" t="s">
        <v>4239</v>
      </c>
      <c r="H53" s="4" t="s">
        <v>641</v>
      </c>
    </row>
    <row r="54" customFormat="false" ht="21.75" hidden="false" customHeight="true" outlineLevel="0" collapsed="false">
      <c r="B54" s="6" t="s">
        <v>62</v>
      </c>
      <c r="C54" s="6" t="s">
        <v>644</v>
      </c>
      <c r="D54" s="10" t="n">
        <v>4</v>
      </c>
      <c r="E54" s="6" t="s">
        <v>30</v>
      </c>
      <c r="F54" s="6" t="s">
        <v>335</v>
      </c>
      <c r="G54" s="7" t="s">
        <v>4239</v>
      </c>
      <c r="H54" s="6" t="s">
        <v>649</v>
      </c>
    </row>
    <row r="55" customFormat="false" ht="21.75" hidden="false" customHeight="true" outlineLevel="0" collapsed="false">
      <c r="B55" s="4" t="s">
        <v>62</v>
      </c>
      <c r="C55" s="4" t="s">
        <v>651</v>
      </c>
      <c r="D55" s="9" t="n">
        <v>4</v>
      </c>
      <c r="E55" s="4" t="s">
        <v>30</v>
      </c>
      <c r="F55" s="4" t="s">
        <v>244</v>
      </c>
      <c r="G55" s="5" t="s">
        <v>4239</v>
      </c>
      <c r="H55" s="4" t="s">
        <v>656</v>
      </c>
    </row>
    <row r="56" customFormat="false" ht="21.75" hidden="false" customHeight="true" outlineLevel="0" collapsed="false">
      <c r="B56" s="6" t="s">
        <v>62</v>
      </c>
      <c r="C56" s="6" t="s">
        <v>659</v>
      </c>
      <c r="D56" s="10" t="n">
        <v>2</v>
      </c>
      <c r="E56" s="6" t="s">
        <v>26</v>
      </c>
      <c r="F56" s="6" t="s">
        <v>389</v>
      </c>
      <c r="G56" s="7" t="s">
        <v>4239</v>
      </c>
      <c r="H56" s="6" t="s">
        <v>664</v>
      </c>
    </row>
    <row r="57" customFormat="false" ht="21.75" hidden="false" customHeight="true" outlineLevel="0" collapsed="false">
      <c r="B57" s="4" t="s">
        <v>62</v>
      </c>
      <c r="C57" s="4" t="s">
        <v>667</v>
      </c>
      <c r="D57" s="9" t="n">
        <v>1</v>
      </c>
      <c r="E57" s="4" t="s">
        <v>24</v>
      </c>
      <c r="F57" s="4" t="s">
        <v>244</v>
      </c>
      <c r="G57" s="5" t="s">
        <v>4239</v>
      </c>
      <c r="H57" s="4" t="s">
        <v>672</v>
      </c>
    </row>
    <row r="58" customFormat="false" ht="21.75" hidden="false" customHeight="true" outlineLevel="0" collapsed="false">
      <c r="B58" s="6" t="s">
        <v>62</v>
      </c>
      <c r="C58" s="6" t="s">
        <v>675</v>
      </c>
      <c r="D58" s="10" t="n">
        <v>3</v>
      </c>
      <c r="E58" s="6" t="s">
        <v>28</v>
      </c>
      <c r="F58" s="6" t="s">
        <v>389</v>
      </c>
      <c r="G58" s="7" t="s">
        <v>4239</v>
      </c>
      <c r="H58" s="6" t="s">
        <v>680</v>
      </c>
    </row>
    <row r="59" customFormat="false" ht="21.75" hidden="false" customHeight="true" outlineLevel="0" collapsed="false">
      <c r="B59" s="4" t="s">
        <v>68</v>
      </c>
      <c r="C59" s="4" t="s">
        <v>683</v>
      </c>
      <c r="D59" s="9" t="n">
        <v>2</v>
      </c>
      <c r="E59" s="4" t="s">
        <v>26</v>
      </c>
      <c r="F59" s="4" t="s">
        <v>389</v>
      </c>
      <c r="G59" s="5" t="s">
        <v>4239</v>
      </c>
      <c r="H59" s="4" t="s">
        <v>688</v>
      </c>
    </row>
    <row r="60" customFormat="false" ht="21.75" hidden="false" customHeight="true" outlineLevel="0" collapsed="false">
      <c r="B60" s="6" t="s">
        <v>68</v>
      </c>
      <c r="C60" s="6" t="s">
        <v>691</v>
      </c>
      <c r="D60" s="10" t="n">
        <v>0</v>
      </c>
      <c r="E60" s="6" t="s">
        <v>22</v>
      </c>
      <c r="F60" s="6" t="s">
        <v>244</v>
      </c>
      <c r="G60" s="7" t="s">
        <v>4239</v>
      </c>
      <c r="H60" s="6" t="s">
        <v>696</v>
      </c>
    </row>
    <row r="61" customFormat="false" ht="21.75" hidden="false" customHeight="true" outlineLevel="0" collapsed="false">
      <c r="B61" s="4" t="s">
        <v>68</v>
      </c>
      <c r="C61" s="4" t="s">
        <v>698</v>
      </c>
      <c r="D61" s="9" t="n">
        <v>0</v>
      </c>
      <c r="E61" s="4" t="s">
        <v>22</v>
      </c>
      <c r="F61" s="4" t="s">
        <v>335</v>
      </c>
      <c r="G61" s="5" t="s">
        <v>4239</v>
      </c>
      <c r="H61" s="4" t="s">
        <v>703</v>
      </c>
    </row>
    <row r="62" customFormat="false" ht="21.75" hidden="false" customHeight="true" outlineLevel="0" collapsed="false">
      <c r="B62" s="6" t="s">
        <v>68</v>
      </c>
      <c r="C62" s="6" t="s">
        <v>705</v>
      </c>
      <c r="D62" s="10" t="n">
        <v>0</v>
      </c>
      <c r="E62" s="6" t="s">
        <v>22</v>
      </c>
      <c r="F62" s="6" t="s">
        <v>469</v>
      </c>
      <c r="G62" s="7" t="s">
        <v>4239</v>
      </c>
      <c r="H62" s="6" t="s">
        <v>710</v>
      </c>
    </row>
    <row r="63" customFormat="false" ht="21.75" hidden="false" customHeight="true" outlineLevel="0" collapsed="false">
      <c r="B63" s="4" t="s">
        <v>68</v>
      </c>
      <c r="C63" s="4" t="s">
        <v>718</v>
      </c>
      <c r="D63" s="9" t="n">
        <v>4</v>
      </c>
      <c r="E63" s="4" t="s">
        <v>30</v>
      </c>
      <c r="F63" s="4" t="s">
        <v>260</v>
      </c>
      <c r="G63" s="5" t="s">
        <v>4239</v>
      </c>
      <c r="H63" s="4" t="s">
        <v>723</v>
      </c>
    </row>
    <row r="64" customFormat="false" ht="21.75" hidden="false" customHeight="true" outlineLevel="0" collapsed="false">
      <c r="B64" s="6" t="s">
        <v>68</v>
      </c>
      <c r="C64" s="6" t="s">
        <v>726</v>
      </c>
      <c r="D64" s="10" t="n">
        <v>1</v>
      </c>
      <c r="E64" s="6" t="s">
        <v>24</v>
      </c>
      <c r="F64" s="6" t="s">
        <v>244</v>
      </c>
      <c r="G64" s="7" t="s">
        <v>4239</v>
      </c>
      <c r="H64" s="6" t="s">
        <v>731</v>
      </c>
    </row>
    <row r="65" customFormat="false" ht="21.75" hidden="false" customHeight="true" outlineLevel="0" collapsed="false">
      <c r="B65" s="4" t="s">
        <v>68</v>
      </c>
      <c r="C65" s="4" t="s">
        <v>734</v>
      </c>
      <c r="D65" s="9" t="n">
        <v>1</v>
      </c>
      <c r="E65" s="4" t="s">
        <v>24</v>
      </c>
      <c r="F65" s="4" t="s">
        <v>234</v>
      </c>
      <c r="G65" s="5" t="s">
        <v>4239</v>
      </c>
      <c r="H65" s="4" t="s">
        <v>739</v>
      </c>
    </row>
    <row r="66" customFormat="false" ht="21.75" hidden="false" customHeight="true" outlineLevel="0" collapsed="false">
      <c r="B66" s="6" t="s">
        <v>68</v>
      </c>
      <c r="C66" s="6" t="s">
        <v>741</v>
      </c>
      <c r="D66" s="10" t="n">
        <v>1</v>
      </c>
      <c r="E66" s="6" t="s">
        <v>24</v>
      </c>
      <c r="F66" s="6" t="s">
        <v>244</v>
      </c>
      <c r="G66" s="7" t="s">
        <v>4239</v>
      </c>
      <c r="H66" s="6" t="s">
        <v>746</v>
      </c>
    </row>
    <row r="67" customFormat="false" ht="21.75" hidden="false" customHeight="true" outlineLevel="0" collapsed="false">
      <c r="B67" s="4" t="s">
        <v>68</v>
      </c>
      <c r="C67" s="4" t="s">
        <v>749</v>
      </c>
      <c r="D67" s="9" t="n">
        <v>2</v>
      </c>
      <c r="E67" s="4" t="s">
        <v>26</v>
      </c>
      <c r="F67" s="4" t="s">
        <v>389</v>
      </c>
      <c r="G67" s="5" t="s">
        <v>4239</v>
      </c>
      <c r="H67" s="4" t="s">
        <v>754</v>
      </c>
    </row>
    <row r="68" customFormat="false" ht="21.75" hidden="false" customHeight="true" outlineLevel="0" collapsed="false">
      <c r="B68" s="6" t="s">
        <v>68</v>
      </c>
      <c r="C68" s="6" t="s">
        <v>757</v>
      </c>
      <c r="D68" s="10" t="n">
        <v>3</v>
      </c>
      <c r="E68" s="6" t="s">
        <v>28</v>
      </c>
      <c r="F68" s="6" t="s">
        <v>234</v>
      </c>
      <c r="G68" s="7" t="s">
        <v>4239</v>
      </c>
      <c r="H68" s="6" t="s">
        <v>762</v>
      </c>
    </row>
    <row r="69" customFormat="false" ht="21.75" hidden="false" customHeight="true" outlineLevel="0" collapsed="false">
      <c r="B69" s="4" t="s">
        <v>68</v>
      </c>
      <c r="C69" s="4" t="s">
        <v>764</v>
      </c>
      <c r="D69" s="9" t="n">
        <v>3</v>
      </c>
      <c r="E69" s="4" t="s">
        <v>28</v>
      </c>
      <c r="F69" s="4" t="s">
        <v>335</v>
      </c>
      <c r="G69" s="5" t="s">
        <v>4239</v>
      </c>
      <c r="H69" s="4" t="s">
        <v>769</v>
      </c>
    </row>
    <row r="70" customFormat="false" ht="21.75" hidden="false" customHeight="true" outlineLevel="0" collapsed="false">
      <c r="B70" s="6" t="s">
        <v>68</v>
      </c>
      <c r="C70" s="6" t="s">
        <v>772</v>
      </c>
      <c r="D70" s="10" t="n">
        <v>2</v>
      </c>
      <c r="E70" s="6" t="s">
        <v>26</v>
      </c>
      <c r="F70" s="6" t="s">
        <v>469</v>
      </c>
      <c r="G70" s="7" t="s">
        <v>4239</v>
      </c>
      <c r="H70" s="6" t="s">
        <v>777</v>
      </c>
    </row>
    <row r="71" customFormat="false" ht="21.75" hidden="false" customHeight="true" outlineLevel="0" collapsed="false">
      <c r="B71" s="4" t="s">
        <v>68</v>
      </c>
      <c r="C71" s="4" t="s">
        <v>780</v>
      </c>
      <c r="D71" s="9" t="n">
        <v>3</v>
      </c>
      <c r="E71" s="4" t="s">
        <v>28</v>
      </c>
      <c r="F71" s="4" t="s">
        <v>234</v>
      </c>
      <c r="G71" s="5" t="s">
        <v>4239</v>
      </c>
      <c r="H71" s="4" t="s">
        <v>785</v>
      </c>
    </row>
    <row r="72" customFormat="false" ht="21.75" hidden="false" customHeight="true" outlineLevel="0" collapsed="false">
      <c r="B72" s="6" t="s">
        <v>68</v>
      </c>
      <c r="C72" s="6" t="s">
        <v>787</v>
      </c>
      <c r="D72" s="10" t="n">
        <v>4</v>
      </c>
      <c r="E72" s="6" t="s">
        <v>30</v>
      </c>
      <c r="F72" s="6" t="s">
        <v>234</v>
      </c>
      <c r="G72" s="7" t="s">
        <v>4239</v>
      </c>
      <c r="H72" s="6" t="s">
        <v>792</v>
      </c>
    </row>
    <row r="73" customFormat="false" ht="21.75" hidden="false" customHeight="true" outlineLevel="0" collapsed="false">
      <c r="B73" s="4" t="s">
        <v>68</v>
      </c>
      <c r="C73" s="4" t="s">
        <v>794</v>
      </c>
      <c r="D73" s="9" t="n">
        <v>4</v>
      </c>
      <c r="E73" s="4" t="s">
        <v>30</v>
      </c>
      <c r="F73" s="4" t="s">
        <v>234</v>
      </c>
      <c r="G73" s="5" t="s">
        <v>4239</v>
      </c>
      <c r="H73" s="4" t="s">
        <v>799</v>
      </c>
    </row>
    <row r="74" customFormat="false" ht="21.75" hidden="false" customHeight="true" outlineLevel="0" collapsed="false">
      <c r="B74" s="6" t="s">
        <v>68</v>
      </c>
      <c r="C74" s="6" t="s">
        <v>802</v>
      </c>
      <c r="D74" s="10" t="n">
        <v>1</v>
      </c>
      <c r="E74" s="6" t="s">
        <v>24</v>
      </c>
      <c r="F74" s="6" t="s">
        <v>234</v>
      </c>
      <c r="G74" s="7" t="s">
        <v>4239</v>
      </c>
      <c r="H74" s="6" t="s">
        <v>807</v>
      </c>
    </row>
    <row r="75" customFormat="false" ht="21.75" hidden="false" customHeight="true" outlineLevel="0" collapsed="false">
      <c r="B75" s="4" t="s">
        <v>68</v>
      </c>
      <c r="C75" s="4" t="s">
        <v>810</v>
      </c>
      <c r="D75" s="9" t="n">
        <v>2</v>
      </c>
      <c r="E75" s="4" t="s">
        <v>26</v>
      </c>
      <c r="F75" s="4" t="s">
        <v>389</v>
      </c>
      <c r="G75" s="5" t="s">
        <v>4239</v>
      </c>
      <c r="H75" s="4" t="s">
        <v>815</v>
      </c>
    </row>
    <row r="76" customFormat="false" ht="21.75" hidden="false" customHeight="true" outlineLevel="0" collapsed="false">
      <c r="B76" s="6" t="s">
        <v>68</v>
      </c>
      <c r="C76" s="6" t="s">
        <v>818</v>
      </c>
      <c r="D76" s="10" t="n">
        <v>4</v>
      </c>
      <c r="E76" s="6" t="s">
        <v>30</v>
      </c>
      <c r="F76" s="6" t="s">
        <v>335</v>
      </c>
      <c r="G76" s="7" t="s">
        <v>4239</v>
      </c>
      <c r="H76" s="6" t="s">
        <v>822</v>
      </c>
    </row>
    <row r="77" customFormat="false" ht="21.75" hidden="false" customHeight="true" outlineLevel="0" collapsed="false">
      <c r="B77" s="4" t="s">
        <v>68</v>
      </c>
      <c r="C77" s="4" t="s">
        <v>825</v>
      </c>
      <c r="D77" s="9" t="n">
        <v>4</v>
      </c>
      <c r="E77" s="4" t="s">
        <v>30</v>
      </c>
      <c r="F77" s="4" t="s">
        <v>234</v>
      </c>
      <c r="G77" s="5" t="s">
        <v>4239</v>
      </c>
      <c r="H77" s="4" t="s">
        <v>830</v>
      </c>
    </row>
    <row r="78" customFormat="false" ht="21.75" hidden="false" customHeight="true" outlineLevel="0" collapsed="false">
      <c r="B78" s="6" t="s">
        <v>68</v>
      </c>
      <c r="C78" s="6" t="s">
        <v>832</v>
      </c>
      <c r="D78" s="10" t="n">
        <v>4</v>
      </c>
      <c r="E78" s="6" t="s">
        <v>30</v>
      </c>
      <c r="F78" s="6" t="s">
        <v>335</v>
      </c>
      <c r="G78" s="7" t="s">
        <v>4239</v>
      </c>
      <c r="H78" s="6" t="s">
        <v>837</v>
      </c>
    </row>
    <row r="79" customFormat="false" ht="21.75" hidden="false" customHeight="true" outlineLevel="0" collapsed="false">
      <c r="B79" s="4" t="s">
        <v>74</v>
      </c>
      <c r="C79" s="4" t="s">
        <v>840</v>
      </c>
      <c r="D79" s="9" t="n">
        <v>0</v>
      </c>
      <c r="E79" s="4" t="s">
        <v>22</v>
      </c>
      <c r="F79" s="4" t="s">
        <v>244</v>
      </c>
      <c r="G79" s="5" t="s">
        <v>4239</v>
      </c>
      <c r="H79" s="4" t="s">
        <v>845</v>
      </c>
    </row>
    <row r="80" customFormat="false" ht="21.75" hidden="false" customHeight="true" outlineLevel="0" collapsed="false">
      <c r="B80" s="6" t="s">
        <v>74</v>
      </c>
      <c r="C80" s="6" t="s">
        <v>848</v>
      </c>
      <c r="D80" s="10" t="n">
        <v>0</v>
      </c>
      <c r="E80" s="6" t="s">
        <v>22</v>
      </c>
      <c r="F80" s="6" t="s">
        <v>244</v>
      </c>
      <c r="G80" s="7" t="s">
        <v>4239</v>
      </c>
      <c r="H80" s="6" t="s">
        <v>853</v>
      </c>
    </row>
    <row r="81" customFormat="false" ht="21.75" hidden="false" customHeight="true" outlineLevel="0" collapsed="false">
      <c r="B81" s="4" t="s">
        <v>74</v>
      </c>
      <c r="C81" s="4" t="s">
        <v>856</v>
      </c>
      <c r="D81" s="9" t="n">
        <v>1</v>
      </c>
      <c r="E81" s="4" t="s">
        <v>24</v>
      </c>
      <c r="F81" s="4" t="s">
        <v>244</v>
      </c>
      <c r="G81" s="5" t="s">
        <v>4239</v>
      </c>
      <c r="H81" s="4" t="s">
        <v>861</v>
      </c>
    </row>
    <row r="82" customFormat="false" ht="21.75" hidden="false" customHeight="true" outlineLevel="0" collapsed="false">
      <c r="B82" s="6" t="s">
        <v>74</v>
      </c>
      <c r="C82" s="6" t="s">
        <v>864</v>
      </c>
      <c r="D82" s="10" t="n">
        <v>1</v>
      </c>
      <c r="E82" s="6" t="s">
        <v>24</v>
      </c>
      <c r="F82" s="6" t="s">
        <v>244</v>
      </c>
      <c r="G82" s="7" t="s">
        <v>4239</v>
      </c>
      <c r="H82" s="6" t="s">
        <v>869</v>
      </c>
    </row>
    <row r="83" customFormat="false" ht="21.75" hidden="false" customHeight="true" outlineLevel="0" collapsed="false">
      <c r="B83" s="4" t="s">
        <v>74</v>
      </c>
      <c r="C83" s="4" t="s">
        <v>872</v>
      </c>
      <c r="D83" s="9" t="n">
        <v>1</v>
      </c>
      <c r="E83" s="4" t="s">
        <v>24</v>
      </c>
      <c r="F83" s="4" t="s">
        <v>244</v>
      </c>
      <c r="G83" s="5" t="s">
        <v>4239</v>
      </c>
      <c r="H83" s="4" t="s">
        <v>877</v>
      </c>
    </row>
    <row r="84" customFormat="false" ht="21.75" hidden="false" customHeight="true" outlineLevel="0" collapsed="false">
      <c r="B84" s="6" t="s">
        <v>74</v>
      </c>
      <c r="C84" s="6" t="s">
        <v>880</v>
      </c>
      <c r="D84" s="10" t="n">
        <v>4</v>
      </c>
      <c r="E84" s="6" t="s">
        <v>30</v>
      </c>
      <c r="F84" s="6" t="s">
        <v>335</v>
      </c>
      <c r="G84" s="7" t="s">
        <v>4239</v>
      </c>
      <c r="H84" s="6" t="s">
        <v>885</v>
      </c>
    </row>
    <row r="85" customFormat="false" ht="21.75" hidden="false" customHeight="true" outlineLevel="0" collapsed="false">
      <c r="B85" s="4" t="s">
        <v>74</v>
      </c>
      <c r="C85" s="4" t="s">
        <v>888</v>
      </c>
      <c r="D85" s="9" t="n">
        <v>1</v>
      </c>
      <c r="E85" s="4" t="s">
        <v>24</v>
      </c>
      <c r="F85" s="4" t="s">
        <v>234</v>
      </c>
      <c r="G85" s="5" t="s">
        <v>4239</v>
      </c>
      <c r="H85" s="4" t="s">
        <v>893</v>
      </c>
    </row>
    <row r="86" customFormat="false" ht="21.75" hidden="false" customHeight="true" outlineLevel="0" collapsed="false">
      <c r="B86" s="6" t="s">
        <v>74</v>
      </c>
      <c r="C86" s="6" t="s">
        <v>896</v>
      </c>
      <c r="D86" s="10" t="n">
        <v>1</v>
      </c>
      <c r="E86" s="6" t="s">
        <v>24</v>
      </c>
      <c r="F86" s="6" t="s">
        <v>234</v>
      </c>
      <c r="G86" s="7" t="s">
        <v>4239</v>
      </c>
      <c r="H86" s="6" t="s">
        <v>900</v>
      </c>
    </row>
    <row r="87" customFormat="false" ht="21.75" hidden="false" customHeight="true" outlineLevel="0" collapsed="false">
      <c r="B87" s="4" t="s">
        <v>74</v>
      </c>
      <c r="C87" s="4" t="s">
        <v>903</v>
      </c>
      <c r="D87" s="9" t="n">
        <v>3</v>
      </c>
      <c r="E87" s="4" t="s">
        <v>28</v>
      </c>
      <c r="F87" s="4" t="s">
        <v>244</v>
      </c>
      <c r="G87" s="5" t="s">
        <v>4239</v>
      </c>
      <c r="H87" s="4" t="s">
        <v>908</v>
      </c>
    </row>
    <row r="88" customFormat="false" ht="21.75" hidden="false" customHeight="true" outlineLevel="0" collapsed="false">
      <c r="B88" s="6" t="s">
        <v>74</v>
      </c>
      <c r="C88" s="6" t="s">
        <v>911</v>
      </c>
      <c r="D88" s="10" t="n">
        <v>1</v>
      </c>
      <c r="E88" s="6" t="s">
        <v>24</v>
      </c>
      <c r="F88" s="6" t="s">
        <v>234</v>
      </c>
      <c r="G88" s="7" t="s">
        <v>4239</v>
      </c>
      <c r="H88" s="6" t="s">
        <v>916</v>
      </c>
    </row>
    <row r="89" customFormat="false" ht="21.75" hidden="false" customHeight="true" outlineLevel="0" collapsed="false">
      <c r="B89" s="4" t="s">
        <v>74</v>
      </c>
      <c r="C89" s="4" t="s">
        <v>919</v>
      </c>
      <c r="D89" s="9" t="n">
        <v>1</v>
      </c>
      <c r="E89" s="4" t="s">
        <v>24</v>
      </c>
      <c r="F89" s="4" t="s">
        <v>244</v>
      </c>
      <c r="G89" s="5" t="s">
        <v>4239</v>
      </c>
      <c r="H89" s="4" t="s">
        <v>924</v>
      </c>
    </row>
    <row r="90" customFormat="false" ht="21.75" hidden="false" customHeight="true" outlineLevel="0" collapsed="false">
      <c r="B90" s="6" t="s">
        <v>74</v>
      </c>
      <c r="C90" s="6" t="s">
        <v>927</v>
      </c>
      <c r="D90" s="10" t="n">
        <v>2</v>
      </c>
      <c r="E90" s="6" t="s">
        <v>26</v>
      </c>
      <c r="F90" s="6" t="s">
        <v>389</v>
      </c>
      <c r="G90" s="7" t="s">
        <v>4239</v>
      </c>
      <c r="H90" s="6" t="s">
        <v>932</v>
      </c>
    </row>
    <row r="91" customFormat="false" ht="21.75" hidden="false" customHeight="true" outlineLevel="0" collapsed="false">
      <c r="B91" s="4" t="s">
        <v>74</v>
      </c>
      <c r="C91" s="4" t="s">
        <v>935</v>
      </c>
      <c r="D91" s="9" t="n">
        <v>1</v>
      </c>
      <c r="E91" s="4" t="s">
        <v>24</v>
      </c>
      <c r="F91" s="4" t="s">
        <v>244</v>
      </c>
      <c r="G91" s="5" t="s">
        <v>4239</v>
      </c>
      <c r="H91" s="4" t="s">
        <v>940</v>
      </c>
    </row>
    <row r="92" customFormat="false" ht="21.75" hidden="false" customHeight="true" outlineLevel="0" collapsed="false">
      <c r="B92" s="6" t="s">
        <v>74</v>
      </c>
      <c r="C92" s="6" t="s">
        <v>943</v>
      </c>
      <c r="D92" s="10" t="n">
        <v>1</v>
      </c>
      <c r="E92" s="6" t="s">
        <v>24</v>
      </c>
      <c r="F92" s="6" t="s">
        <v>244</v>
      </c>
      <c r="G92" s="7" t="s">
        <v>4239</v>
      </c>
      <c r="H92" s="6" t="s">
        <v>948</v>
      </c>
    </row>
    <row r="93" customFormat="false" ht="21.75" hidden="false" customHeight="true" outlineLevel="0" collapsed="false">
      <c r="B93" s="4" t="s">
        <v>74</v>
      </c>
      <c r="C93" s="4" t="s">
        <v>951</v>
      </c>
      <c r="D93" s="9" t="n">
        <v>4</v>
      </c>
      <c r="E93" s="4" t="s">
        <v>30</v>
      </c>
      <c r="F93" s="4" t="s">
        <v>260</v>
      </c>
      <c r="G93" s="5" t="s">
        <v>4239</v>
      </c>
      <c r="H93" s="4" t="s">
        <v>956</v>
      </c>
    </row>
    <row r="94" customFormat="false" ht="21.75" hidden="false" customHeight="true" outlineLevel="0" collapsed="false">
      <c r="B94" s="6" t="s">
        <v>74</v>
      </c>
      <c r="C94" s="6" t="s">
        <v>959</v>
      </c>
      <c r="D94" s="10" t="n">
        <v>2</v>
      </c>
      <c r="E94" s="6" t="s">
        <v>26</v>
      </c>
      <c r="F94" s="6" t="s">
        <v>389</v>
      </c>
      <c r="G94" s="7" t="s">
        <v>4239</v>
      </c>
      <c r="H94" s="6" t="s">
        <v>964</v>
      </c>
    </row>
    <row r="95" customFormat="false" ht="21.75" hidden="false" customHeight="true" outlineLevel="0" collapsed="false">
      <c r="B95" s="4" t="s">
        <v>74</v>
      </c>
      <c r="C95" s="4" t="s">
        <v>967</v>
      </c>
      <c r="D95" s="9" t="n">
        <v>3</v>
      </c>
      <c r="E95" s="4" t="s">
        <v>28</v>
      </c>
      <c r="F95" s="4" t="s">
        <v>335</v>
      </c>
      <c r="G95" s="5" t="s">
        <v>4239</v>
      </c>
      <c r="H95" s="4" t="s">
        <v>972</v>
      </c>
    </row>
    <row r="96" customFormat="false" ht="21.75" hidden="false" customHeight="true" outlineLevel="0" collapsed="false">
      <c r="B96" s="6" t="s">
        <v>74</v>
      </c>
      <c r="C96" s="6" t="s">
        <v>975</v>
      </c>
      <c r="D96" s="10" t="n">
        <v>3</v>
      </c>
      <c r="E96" s="6" t="s">
        <v>28</v>
      </c>
      <c r="F96" s="6" t="s">
        <v>244</v>
      </c>
      <c r="G96" s="7" t="s">
        <v>4239</v>
      </c>
      <c r="H96" s="6" t="s">
        <v>980</v>
      </c>
    </row>
    <row r="97" customFormat="false" ht="21.75" hidden="false" customHeight="true" outlineLevel="0" collapsed="false">
      <c r="B97" s="4" t="s">
        <v>74</v>
      </c>
      <c r="C97" s="4" t="s">
        <v>983</v>
      </c>
      <c r="D97" s="9" t="n">
        <v>3</v>
      </c>
      <c r="E97" s="4" t="s">
        <v>28</v>
      </c>
      <c r="F97" s="4" t="s">
        <v>389</v>
      </c>
      <c r="G97" s="5" t="s">
        <v>4239</v>
      </c>
      <c r="H97" s="4" t="s">
        <v>988</v>
      </c>
    </row>
    <row r="98" customFormat="false" ht="21.75" hidden="false" customHeight="true" outlineLevel="0" collapsed="false">
      <c r="B98" s="6" t="s">
        <v>74</v>
      </c>
      <c r="C98" s="6" t="s">
        <v>991</v>
      </c>
      <c r="D98" s="10" t="n">
        <v>2</v>
      </c>
      <c r="E98" s="6" t="s">
        <v>26</v>
      </c>
      <c r="F98" s="6" t="s">
        <v>244</v>
      </c>
      <c r="G98" s="7" t="s">
        <v>4239</v>
      </c>
      <c r="H98" s="6" t="s">
        <v>996</v>
      </c>
    </row>
    <row r="99" customFormat="false" ht="21.75" hidden="false" customHeight="true" outlineLevel="0" collapsed="false">
      <c r="B99" s="4" t="s">
        <v>74</v>
      </c>
      <c r="C99" s="4" t="s">
        <v>999</v>
      </c>
      <c r="D99" s="9" t="n">
        <v>2</v>
      </c>
      <c r="E99" s="4" t="s">
        <v>26</v>
      </c>
      <c r="F99" s="4" t="s">
        <v>291</v>
      </c>
      <c r="G99" s="5" t="s">
        <v>4239</v>
      </c>
      <c r="H99" s="4" t="s">
        <v>1004</v>
      </c>
    </row>
    <row r="100" customFormat="false" ht="21.75" hidden="false" customHeight="true" outlineLevel="0" collapsed="false">
      <c r="B100" s="6" t="s">
        <v>74</v>
      </c>
      <c r="C100" s="6" t="s">
        <v>1007</v>
      </c>
      <c r="D100" s="10" t="n">
        <v>2</v>
      </c>
      <c r="E100" s="6" t="s">
        <v>26</v>
      </c>
      <c r="F100" s="6" t="s">
        <v>389</v>
      </c>
      <c r="G100" s="7" t="s">
        <v>4239</v>
      </c>
      <c r="H100" s="6" t="s">
        <v>1012</v>
      </c>
    </row>
    <row r="101" customFormat="false" ht="21.75" hidden="false" customHeight="true" outlineLevel="0" collapsed="false">
      <c r="B101" s="4" t="s">
        <v>74</v>
      </c>
      <c r="C101" s="4" t="s">
        <v>1015</v>
      </c>
      <c r="D101" s="9" t="n">
        <v>3</v>
      </c>
      <c r="E101" s="4" t="s">
        <v>28</v>
      </c>
      <c r="F101" s="4" t="s">
        <v>260</v>
      </c>
      <c r="G101" s="5" t="s">
        <v>4239</v>
      </c>
      <c r="H101" s="4" t="s">
        <v>1020</v>
      </c>
    </row>
    <row r="102" customFormat="false" ht="21.75" hidden="false" customHeight="true" outlineLevel="0" collapsed="false">
      <c r="B102" s="6" t="s">
        <v>74</v>
      </c>
      <c r="C102" s="6" t="s">
        <v>1023</v>
      </c>
      <c r="D102" s="10" t="n">
        <v>3</v>
      </c>
      <c r="E102" s="6" t="s">
        <v>28</v>
      </c>
      <c r="F102" s="6" t="s">
        <v>389</v>
      </c>
      <c r="G102" s="7" t="s">
        <v>4239</v>
      </c>
      <c r="H102" s="6" t="s">
        <v>1028</v>
      </c>
    </row>
    <row r="103" customFormat="false" ht="21.75" hidden="false" customHeight="true" outlineLevel="0" collapsed="false">
      <c r="B103" s="4" t="s">
        <v>74</v>
      </c>
      <c r="C103" s="4" t="s">
        <v>1031</v>
      </c>
      <c r="D103" s="9" t="n">
        <v>1</v>
      </c>
      <c r="E103" s="4" t="s">
        <v>24</v>
      </c>
      <c r="F103" s="4" t="s">
        <v>260</v>
      </c>
      <c r="G103" s="5" t="s">
        <v>4239</v>
      </c>
      <c r="H103" s="4" t="s">
        <v>1036</v>
      </c>
    </row>
    <row r="104" customFormat="false" ht="21.75" hidden="false" customHeight="true" outlineLevel="0" collapsed="false">
      <c r="B104" s="6" t="s">
        <v>74</v>
      </c>
      <c r="C104" s="6" t="s">
        <v>1039</v>
      </c>
      <c r="D104" s="10" t="n">
        <v>4</v>
      </c>
      <c r="E104" s="6" t="s">
        <v>30</v>
      </c>
      <c r="F104" s="6" t="s">
        <v>234</v>
      </c>
      <c r="G104" s="7" t="s">
        <v>4239</v>
      </c>
      <c r="H104" s="6" t="s">
        <v>1044</v>
      </c>
    </row>
    <row r="105" customFormat="false" ht="21.75" hidden="false" customHeight="true" outlineLevel="0" collapsed="false">
      <c r="B105" s="4" t="s">
        <v>81</v>
      </c>
      <c r="C105" s="4" t="s">
        <v>1047</v>
      </c>
      <c r="D105" s="9" t="n">
        <v>0</v>
      </c>
      <c r="E105" s="4" t="s">
        <v>22</v>
      </c>
      <c r="F105" s="4" t="s">
        <v>244</v>
      </c>
      <c r="G105" s="5" t="s">
        <v>4239</v>
      </c>
      <c r="H105" s="4" t="s">
        <v>1052</v>
      </c>
    </row>
    <row r="106" customFormat="false" ht="21.75" hidden="false" customHeight="true" outlineLevel="0" collapsed="false">
      <c r="B106" s="6" t="s">
        <v>81</v>
      </c>
      <c r="C106" s="6" t="s">
        <v>1055</v>
      </c>
      <c r="D106" s="10" t="n">
        <v>0</v>
      </c>
      <c r="E106" s="6" t="s">
        <v>22</v>
      </c>
      <c r="F106" s="6" t="s">
        <v>244</v>
      </c>
      <c r="G106" s="7" t="s">
        <v>4239</v>
      </c>
      <c r="H106" s="6" t="s">
        <v>1060</v>
      </c>
    </row>
    <row r="107" customFormat="false" ht="21.75" hidden="false" customHeight="true" outlineLevel="0" collapsed="false">
      <c r="B107" s="4" t="s">
        <v>81</v>
      </c>
      <c r="C107" s="4" t="s">
        <v>1063</v>
      </c>
      <c r="D107" s="9" t="n">
        <v>1</v>
      </c>
      <c r="E107" s="4" t="s">
        <v>24</v>
      </c>
      <c r="F107" s="4" t="s">
        <v>234</v>
      </c>
      <c r="G107" s="5" t="s">
        <v>4239</v>
      </c>
      <c r="H107" s="4" t="s">
        <v>1068</v>
      </c>
    </row>
    <row r="108" customFormat="false" ht="21.75" hidden="false" customHeight="true" outlineLevel="0" collapsed="false">
      <c r="B108" s="6" t="s">
        <v>81</v>
      </c>
      <c r="C108" s="6" t="s">
        <v>1071</v>
      </c>
      <c r="D108" s="10" t="n">
        <v>1</v>
      </c>
      <c r="E108" s="6" t="s">
        <v>24</v>
      </c>
      <c r="F108" s="6" t="s">
        <v>244</v>
      </c>
      <c r="G108" s="7" t="s">
        <v>4239</v>
      </c>
      <c r="H108" s="6" t="s">
        <v>1076</v>
      </c>
    </row>
    <row r="109" customFormat="false" ht="21.75" hidden="false" customHeight="true" outlineLevel="0" collapsed="false">
      <c r="B109" s="4" t="s">
        <v>81</v>
      </c>
      <c r="C109" s="4" t="s">
        <v>1079</v>
      </c>
      <c r="D109" s="9" t="n">
        <v>1</v>
      </c>
      <c r="E109" s="4" t="s">
        <v>24</v>
      </c>
      <c r="F109" s="4" t="s">
        <v>234</v>
      </c>
      <c r="G109" s="5" t="s">
        <v>4239</v>
      </c>
      <c r="H109" s="4" t="s">
        <v>1083</v>
      </c>
    </row>
    <row r="110" customFormat="false" ht="21.75" hidden="false" customHeight="true" outlineLevel="0" collapsed="false">
      <c r="B110" s="6" t="s">
        <v>81</v>
      </c>
      <c r="C110" s="6" t="s">
        <v>1086</v>
      </c>
      <c r="D110" s="10" t="n">
        <v>1</v>
      </c>
      <c r="E110" s="6" t="s">
        <v>24</v>
      </c>
      <c r="F110" s="6" t="s">
        <v>234</v>
      </c>
      <c r="G110" s="7" t="s">
        <v>4239</v>
      </c>
      <c r="H110" s="6" t="s">
        <v>1091</v>
      </c>
    </row>
    <row r="111" customFormat="false" ht="21.75" hidden="false" customHeight="true" outlineLevel="0" collapsed="false">
      <c r="B111" s="4" t="s">
        <v>81</v>
      </c>
      <c r="C111" s="4" t="s">
        <v>1094</v>
      </c>
      <c r="D111" s="9" t="n">
        <v>2</v>
      </c>
      <c r="E111" s="4" t="s">
        <v>26</v>
      </c>
      <c r="F111" s="4" t="s">
        <v>260</v>
      </c>
      <c r="G111" s="5" t="s">
        <v>4239</v>
      </c>
      <c r="H111" s="4" t="s">
        <v>1099</v>
      </c>
    </row>
    <row r="112" customFormat="false" ht="21.75" hidden="false" customHeight="true" outlineLevel="0" collapsed="false">
      <c r="B112" s="6" t="s">
        <v>81</v>
      </c>
      <c r="C112" s="6" t="s">
        <v>1102</v>
      </c>
      <c r="D112" s="10" t="n">
        <v>2</v>
      </c>
      <c r="E112" s="6" t="s">
        <v>26</v>
      </c>
      <c r="F112" s="6" t="s">
        <v>244</v>
      </c>
      <c r="G112" s="7" t="s">
        <v>4239</v>
      </c>
      <c r="H112" s="6" t="s">
        <v>1107</v>
      </c>
    </row>
    <row r="113" customFormat="false" ht="21.75" hidden="false" customHeight="true" outlineLevel="0" collapsed="false">
      <c r="B113" s="4" t="s">
        <v>81</v>
      </c>
      <c r="C113" s="4" t="s">
        <v>1110</v>
      </c>
      <c r="D113" s="9" t="n">
        <v>4</v>
      </c>
      <c r="E113" s="4" t="s">
        <v>30</v>
      </c>
      <c r="F113" s="4" t="s">
        <v>335</v>
      </c>
      <c r="G113" s="5" t="s">
        <v>4239</v>
      </c>
      <c r="H113" s="4" t="s">
        <v>1115</v>
      </c>
    </row>
    <row r="114" customFormat="false" ht="21.75" hidden="false" customHeight="true" outlineLevel="0" collapsed="false">
      <c r="B114" s="6" t="s">
        <v>81</v>
      </c>
      <c r="C114" s="6" t="s">
        <v>1118</v>
      </c>
      <c r="D114" s="10" t="n">
        <v>1</v>
      </c>
      <c r="E114" s="6" t="s">
        <v>24</v>
      </c>
      <c r="F114" s="6" t="s">
        <v>260</v>
      </c>
      <c r="G114" s="7" t="s">
        <v>4239</v>
      </c>
      <c r="H114" s="6" t="s">
        <v>1123</v>
      </c>
    </row>
    <row r="115" customFormat="false" ht="21.75" hidden="false" customHeight="true" outlineLevel="0" collapsed="false">
      <c r="B115" s="4" t="s">
        <v>81</v>
      </c>
      <c r="C115" s="4" t="s">
        <v>1126</v>
      </c>
      <c r="D115" s="9" t="n">
        <v>4</v>
      </c>
      <c r="E115" s="4" t="s">
        <v>30</v>
      </c>
      <c r="F115" s="4" t="s">
        <v>234</v>
      </c>
      <c r="G115" s="5" t="s">
        <v>4239</v>
      </c>
      <c r="H115" s="4" t="s">
        <v>1131</v>
      </c>
    </row>
    <row r="116" customFormat="false" ht="21.75" hidden="false" customHeight="true" outlineLevel="0" collapsed="false">
      <c r="B116" s="6" t="s">
        <v>81</v>
      </c>
      <c r="C116" s="6" t="s">
        <v>1134</v>
      </c>
      <c r="D116" s="10" t="n">
        <v>1</v>
      </c>
      <c r="E116" s="6" t="s">
        <v>24</v>
      </c>
      <c r="F116" s="6" t="s">
        <v>389</v>
      </c>
      <c r="G116" s="7" t="s">
        <v>4239</v>
      </c>
      <c r="H116" s="6" t="s">
        <v>1139</v>
      </c>
    </row>
    <row r="117" customFormat="false" ht="21.75" hidden="false" customHeight="true" outlineLevel="0" collapsed="false">
      <c r="B117" s="4" t="s">
        <v>81</v>
      </c>
      <c r="C117" s="4" t="s">
        <v>1142</v>
      </c>
      <c r="D117" s="9" t="n">
        <v>4</v>
      </c>
      <c r="E117" s="4" t="s">
        <v>30</v>
      </c>
      <c r="F117" s="4" t="s">
        <v>234</v>
      </c>
      <c r="G117" s="5" t="s">
        <v>4239</v>
      </c>
      <c r="H117" s="4" t="s">
        <v>1147</v>
      </c>
    </row>
    <row r="118" customFormat="false" ht="21.75" hidden="false" customHeight="true" outlineLevel="0" collapsed="false">
      <c r="B118" s="6" t="s">
        <v>81</v>
      </c>
      <c r="C118" s="6" t="s">
        <v>1150</v>
      </c>
      <c r="D118" s="10" t="n">
        <v>2</v>
      </c>
      <c r="E118" s="6" t="s">
        <v>26</v>
      </c>
      <c r="F118" s="6" t="s">
        <v>469</v>
      </c>
      <c r="G118" s="7" t="s">
        <v>4239</v>
      </c>
      <c r="H118" s="6" t="s">
        <v>1155</v>
      </c>
    </row>
    <row r="119" customFormat="false" ht="21.75" hidden="false" customHeight="true" outlineLevel="0" collapsed="false">
      <c r="B119" s="4" t="s">
        <v>81</v>
      </c>
      <c r="C119" s="4" t="s">
        <v>1158</v>
      </c>
      <c r="D119" s="9" t="n">
        <v>1</v>
      </c>
      <c r="E119" s="4" t="s">
        <v>24</v>
      </c>
      <c r="F119" s="4" t="s">
        <v>244</v>
      </c>
      <c r="G119" s="5" t="s">
        <v>4239</v>
      </c>
      <c r="H119" s="4" t="s">
        <v>1163</v>
      </c>
    </row>
    <row r="120" customFormat="false" ht="21.75" hidden="false" customHeight="true" outlineLevel="0" collapsed="false">
      <c r="B120" s="6" t="s">
        <v>81</v>
      </c>
      <c r="C120" s="6" t="s">
        <v>1166</v>
      </c>
      <c r="D120" s="10" t="n">
        <v>2</v>
      </c>
      <c r="E120" s="6" t="s">
        <v>26</v>
      </c>
      <c r="F120" s="6" t="s">
        <v>469</v>
      </c>
      <c r="G120" s="7" t="s">
        <v>4239</v>
      </c>
      <c r="H120" s="6" t="s">
        <v>1171</v>
      </c>
    </row>
    <row r="121" customFormat="false" ht="21.75" hidden="false" customHeight="true" outlineLevel="0" collapsed="false">
      <c r="B121" s="4" t="s">
        <v>81</v>
      </c>
      <c r="C121" s="4" t="s">
        <v>1174</v>
      </c>
      <c r="D121" s="9" t="n">
        <v>4</v>
      </c>
      <c r="E121" s="4" t="s">
        <v>30</v>
      </c>
      <c r="F121" s="4" t="s">
        <v>234</v>
      </c>
      <c r="G121" s="5" t="s">
        <v>4239</v>
      </c>
      <c r="H121" s="4" t="s">
        <v>1179</v>
      </c>
    </row>
    <row r="122" customFormat="false" ht="21.75" hidden="false" customHeight="true" outlineLevel="0" collapsed="false">
      <c r="B122" s="6" t="s">
        <v>81</v>
      </c>
      <c r="C122" s="6" t="s">
        <v>1182</v>
      </c>
      <c r="D122" s="10" t="n">
        <v>2</v>
      </c>
      <c r="E122" s="6" t="s">
        <v>26</v>
      </c>
      <c r="F122" s="6" t="s">
        <v>389</v>
      </c>
      <c r="G122" s="7" t="s">
        <v>4239</v>
      </c>
      <c r="H122" s="6" t="s">
        <v>1187</v>
      </c>
    </row>
    <row r="123" customFormat="false" ht="21.75" hidden="false" customHeight="true" outlineLevel="0" collapsed="false">
      <c r="B123" s="4" t="s">
        <v>81</v>
      </c>
      <c r="C123" s="4" t="s">
        <v>1190</v>
      </c>
      <c r="D123" s="9" t="n">
        <v>2</v>
      </c>
      <c r="E123" s="4" t="s">
        <v>26</v>
      </c>
      <c r="F123" s="4" t="s">
        <v>469</v>
      </c>
      <c r="G123" s="5" t="s">
        <v>4239</v>
      </c>
      <c r="H123" s="4" t="s">
        <v>1195</v>
      </c>
    </row>
    <row r="124" customFormat="false" ht="21.75" hidden="false" customHeight="true" outlineLevel="0" collapsed="false">
      <c r="B124" s="6" t="s">
        <v>81</v>
      </c>
      <c r="C124" s="6" t="s">
        <v>1198</v>
      </c>
      <c r="D124" s="10" t="n">
        <v>4</v>
      </c>
      <c r="E124" s="6" t="s">
        <v>30</v>
      </c>
      <c r="F124" s="6" t="s">
        <v>234</v>
      </c>
      <c r="G124" s="7" t="s">
        <v>4239</v>
      </c>
      <c r="H124" s="6" t="s">
        <v>1203</v>
      </c>
    </row>
    <row r="125" customFormat="false" ht="21.75" hidden="false" customHeight="true" outlineLevel="0" collapsed="false">
      <c r="B125" s="4" t="s">
        <v>81</v>
      </c>
      <c r="C125" s="4" t="s">
        <v>1206</v>
      </c>
      <c r="D125" s="9" t="n">
        <v>2</v>
      </c>
      <c r="E125" s="4" t="s">
        <v>26</v>
      </c>
      <c r="F125" s="4" t="s">
        <v>234</v>
      </c>
      <c r="G125" s="5" t="s">
        <v>4239</v>
      </c>
      <c r="H125" s="4" t="s">
        <v>1211</v>
      </c>
    </row>
    <row r="126" customFormat="false" ht="21.75" hidden="false" customHeight="true" outlineLevel="0" collapsed="false">
      <c r="B126" s="6" t="s">
        <v>81</v>
      </c>
      <c r="C126" s="6" t="s">
        <v>1214</v>
      </c>
      <c r="D126" s="10" t="n">
        <v>1</v>
      </c>
      <c r="E126" s="6" t="s">
        <v>24</v>
      </c>
      <c r="F126" s="6" t="s">
        <v>469</v>
      </c>
      <c r="G126" s="7" t="s">
        <v>4239</v>
      </c>
      <c r="H126" s="6" t="s">
        <v>1219</v>
      </c>
    </row>
    <row r="127" customFormat="false" ht="21.75" hidden="false" customHeight="true" outlineLevel="0" collapsed="false">
      <c r="B127" s="4" t="s">
        <v>81</v>
      </c>
      <c r="C127" s="4" t="s">
        <v>1222</v>
      </c>
      <c r="D127" s="9" t="n">
        <v>3</v>
      </c>
      <c r="E127" s="4" t="s">
        <v>28</v>
      </c>
      <c r="F127" s="4" t="s">
        <v>389</v>
      </c>
      <c r="G127" s="5" t="s">
        <v>4239</v>
      </c>
      <c r="H127" s="4" t="s">
        <v>1227</v>
      </c>
    </row>
    <row r="128" customFormat="false" ht="21.75" hidden="false" customHeight="true" outlineLevel="0" collapsed="false">
      <c r="B128" s="6" t="s">
        <v>81</v>
      </c>
      <c r="C128" s="6" t="s">
        <v>1230</v>
      </c>
      <c r="D128" s="10" t="n">
        <v>3</v>
      </c>
      <c r="E128" s="6" t="s">
        <v>28</v>
      </c>
      <c r="F128" s="6" t="s">
        <v>234</v>
      </c>
      <c r="G128" s="7" t="s">
        <v>4239</v>
      </c>
      <c r="H128" s="6" t="s">
        <v>1235</v>
      </c>
    </row>
    <row r="129" customFormat="false" ht="21.75" hidden="false" customHeight="true" outlineLevel="0" collapsed="false">
      <c r="B129" s="4" t="s">
        <v>87</v>
      </c>
      <c r="C129" s="4" t="s">
        <v>1245</v>
      </c>
      <c r="D129" s="9" t="n">
        <v>0</v>
      </c>
      <c r="E129" s="4" t="s">
        <v>22</v>
      </c>
      <c r="F129" s="4" t="s">
        <v>244</v>
      </c>
      <c r="G129" s="5" t="s">
        <v>4239</v>
      </c>
      <c r="H129" s="4" t="s">
        <v>1250</v>
      </c>
    </row>
    <row r="130" customFormat="false" ht="21.75" hidden="false" customHeight="true" outlineLevel="0" collapsed="false">
      <c r="B130" s="6" t="s">
        <v>87</v>
      </c>
      <c r="C130" s="6" t="s">
        <v>1253</v>
      </c>
      <c r="D130" s="10" t="n">
        <v>0</v>
      </c>
      <c r="E130" s="6" t="s">
        <v>22</v>
      </c>
      <c r="F130" s="6" t="s">
        <v>244</v>
      </c>
      <c r="G130" s="7" t="s">
        <v>4239</v>
      </c>
      <c r="H130" s="6" t="s">
        <v>1258</v>
      </c>
    </row>
    <row r="131" customFormat="false" ht="21.75" hidden="false" customHeight="true" outlineLevel="0" collapsed="false">
      <c r="B131" s="4" t="s">
        <v>87</v>
      </c>
      <c r="C131" s="4" t="s">
        <v>1261</v>
      </c>
      <c r="D131" s="9" t="n">
        <v>1</v>
      </c>
      <c r="E131" s="4" t="s">
        <v>24</v>
      </c>
      <c r="F131" s="4" t="s">
        <v>244</v>
      </c>
      <c r="G131" s="5" t="s">
        <v>4239</v>
      </c>
      <c r="H131" s="4" t="s">
        <v>1266</v>
      </c>
    </row>
    <row r="132" customFormat="false" ht="21.75" hidden="false" customHeight="true" outlineLevel="0" collapsed="false">
      <c r="B132" s="6" t="s">
        <v>87</v>
      </c>
      <c r="C132" s="6" t="s">
        <v>1269</v>
      </c>
      <c r="D132" s="10" t="n">
        <v>1</v>
      </c>
      <c r="E132" s="6" t="s">
        <v>24</v>
      </c>
      <c r="F132" s="6" t="s">
        <v>244</v>
      </c>
      <c r="G132" s="7" t="s">
        <v>4239</v>
      </c>
      <c r="H132" s="6" t="s">
        <v>1273</v>
      </c>
    </row>
    <row r="133" customFormat="false" ht="21.75" hidden="false" customHeight="true" outlineLevel="0" collapsed="false">
      <c r="B133" s="4" t="s">
        <v>87</v>
      </c>
      <c r="C133" s="4" t="s">
        <v>1276</v>
      </c>
      <c r="D133" s="9" t="n">
        <v>1</v>
      </c>
      <c r="E133" s="4" t="s">
        <v>24</v>
      </c>
      <c r="F133" s="4" t="s">
        <v>244</v>
      </c>
      <c r="G133" s="5" t="s">
        <v>4239</v>
      </c>
      <c r="H133" s="4" t="s">
        <v>1281</v>
      </c>
    </row>
    <row r="134" customFormat="false" ht="21.75" hidden="false" customHeight="true" outlineLevel="0" collapsed="false">
      <c r="B134" s="6" t="s">
        <v>87</v>
      </c>
      <c r="C134" s="6" t="s">
        <v>1284</v>
      </c>
      <c r="D134" s="10" t="n">
        <v>1</v>
      </c>
      <c r="E134" s="6" t="s">
        <v>24</v>
      </c>
      <c r="F134" s="6" t="s">
        <v>234</v>
      </c>
      <c r="G134" s="7" t="s">
        <v>4239</v>
      </c>
      <c r="H134" s="6" t="s">
        <v>1289</v>
      </c>
    </row>
    <row r="135" customFormat="false" ht="21.75" hidden="false" customHeight="true" outlineLevel="0" collapsed="false">
      <c r="B135" s="4" t="s">
        <v>87</v>
      </c>
      <c r="C135" s="4" t="s">
        <v>1292</v>
      </c>
      <c r="D135" s="9" t="n">
        <v>0</v>
      </c>
      <c r="E135" s="4" t="s">
        <v>22</v>
      </c>
      <c r="F135" s="4" t="s">
        <v>244</v>
      </c>
      <c r="G135" s="5" t="s">
        <v>4239</v>
      </c>
      <c r="H135" s="4" t="s">
        <v>1297</v>
      </c>
    </row>
    <row r="136" customFormat="false" ht="21.75" hidden="false" customHeight="true" outlineLevel="0" collapsed="false">
      <c r="B136" s="6" t="s">
        <v>87</v>
      </c>
      <c r="C136" s="6" t="s">
        <v>1299</v>
      </c>
      <c r="D136" s="10" t="n">
        <v>4</v>
      </c>
      <c r="E136" s="6" t="s">
        <v>30</v>
      </c>
      <c r="F136" s="6" t="s">
        <v>335</v>
      </c>
      <c r="G136" s="7" t="s">
        <v>4239</v>
      </c>
      <c r="H136" s="6" t="s">
        <v>1304</v>
      </c>
    </row>
    <row r="137" customFormat="false" ht="21.75" hidden="false" customHeight="true" outlineLevel="0" collapsed="false">
      <c r="B137" s="4" t="s">
        <v>87</v>
      </c>
      <c r="C137" s="4" t="s">
        <v>1307</v>
      </c>
      <c r="D137" s="9" t="n">
        <v>3</v>
      </c>
      <c r="E137" s="4" t="s">
        <v>28</v>
      </c>
      <c r="F137" s="4" t="s">
        <v>234</v>
      </c>
      <c r="G137" s="5" t="s">
        <v>4239</v>
      </c>
      <c r="H137" s="4" t="s">
        <v>1312</v>
      </c>
    </row>
    <row r="138" customFormat="false" ht="21.75" hidden="false" customHeight="true" outlineLevel="0" collapsed="false">
      <c r="B138" s="6" t="s">
        <v>87</v>
      </c>
      <c r="C138" s="6" t="s">
        <v>1315</v>
      </c>
      <c r="D138" s="10" t="n">
        <v>1</v>
      </c>
      <c r="E138" s="6" t="s">
        <v>24</v>
      </c>
      <c r="F138" s="6" t="s">
        <v>234</v>
      </c>
      <c r="G138" s="7" t="s">
        <v>4239</v>
      </c>
      <c r="H138" s="6" t="s">
        <v>1320</v>
      </c>
    </row>
    <row r="139" customFormat="false" ht="21.75" hidden="false" customHeight="true" outlineLevel="0" collapsed="false">
      <c r="B139" s="4" t="s">
        <v>87</v>
      </c>
      <c r="C139" s="4" t="s">
        <v>1330</v>
      </c>
      <c r="D139" s="9" t="n">
        <v>2</v>
      </c>
      <c r="E139" s="4" t="s">
        <v>26</v>
      </c>
      <c r="F139" s="4" t="s">
        <v>469</v>
      </c>
      <c r="G139" s="5" t="s">
        <v>4239</v>
      </c>
      <c r="H139" s="4" t="s">
        <v>1335</v>
      </c>
    </row>
    <row r="140" customFormat="false" ht="21.75" hidden="false" customHeight="true" outlineLevel="0" collapsed="false">
      <c r="B140" s="6" t="s">
        <v>87</v>
      </c>
      <c r="C140" s="6" t="s">
        <v>1338</v>
      </c>
      <c r="D140" s="10" t="n">
        <v>1</v>
      </c>
      <c r="E140" s="6" t="s">
        <v>24</v>
      </c>
      <c r="F140" s="6" t="s">
        <v>234</v>
      </c>
      <c r="G140" s="7" t="s">
        <v>4239</v>
      </c>
      <c r="H140" s="6" t="s">
        <v>1343</v>
      </c>
    </row>
    <row r="141" customFormat="false" ht="21.75" hidden="false" customHeight="true" outlineLevel="0" collapsed="false">
      <c r="B141" s="4" t="s">
        <v>87</v>
      </c>
      <c r="C141" s="4" t="s">
        <v>1346</v>
      </c>
      <c r="D141" s="9" t="n">
        <v>1</v>
      </c>
      <c r="E141" s="4" t="s">
        <v>24</v>
      </c>
      <c r="F141" s="4" t="s">
        <v>234</v>
      </c>
      <c r="G141" s="5" t="s">
        <v>4239</v>
      </c>
      <c r="H141" s="4" t="s">
        <v>1351</v>
      </c>
    </row>
    <row r="142" customFormat="false" ht="21.75" hidden="false" customHeight="true" outlineLevel="0" collapsed="false">
      <c r="B142" s="6" t="s">
        <v>87</v>
      </c>
      <c r="C142" s="6" t="s">
        <v>1354</v>
      </c>
      <c r="D142" s="10" t="n">
        <v>1</v>
      </c>
      <c r="E142" s="6" t="s">
        <v>24</v>
      </c>
      <c r="F142" s="6" t="s">
        <v>335</v>
      </c>
      <c r="G142" s="7" t="s">
        <v>4239</v>
      </c>
      <c r="H142" s="6" t="s">
        <v>1359</v>
      </c>
    </row>
    <row r="143" customFormat="false" ht="21.75" hidden="false" customHeight="true" outlineLevel="0" collapsed="false">
      <c r="B143" s="4" t="s">
        <v>87</v>
      </c>
      <c r="C143" s="4" t="s">
        <v>1362</v>
      </c>
      <c r="D143" s="9" t="n">
        <v>1</v>
      </c>
      <c r="E143" s="4" t="s">
        <v>24</v>
      </c>
      <c r="F143" s="4" t="s">
        <v>234</v>
      </c>
      <c r="G143" s="5" t="s">
        <v>4239</v>
      </c>
      <c r="H143" s="4" t="s">
        <v>1367</v>
      </c>
    </row>
    <row r="144" customFormat="false" ht="21.75" hidden="false" customHeight="true" outlineLevel="0" collapsed="false">
      <c r="B144" s="6" t="s">
        <v>87</v>
      </c>
      <c r="C144" s="6" t="s">
        <v>1370</v>
      </c>
      <c r="D144" s="10" t="n">
        <v>4</v>
      </c>
      <c r="E144" s="6" t="s">
        <v>30</v>
      </c>
      <c r="F144" s="6" t="s">
        <v>244</v>
      </c>
      <c r="G144" s="7" t="s">
        <v>4239</v>
      </c>
      <c r="H144" s="6" t="s">
        <v>1375</v>
      </c>
    </row>
    <row r="145" customFormat="false" ht="21.75" hidden="false" customHeight="true" outlineLevel="0" collapsed="false">
      <c r="B145" s="4" t="s">
        <v>87</v>
      </c>
      <c r="C145" s="4" t="s">
        <v>1378</v>
      </c>
      <c r="D145" s="9" t="n">
        <v>3</v>
      </c>
      <c r="E145" s="4" t="s">
        <v>28</v>
      </c>
      <c r="F145" s="4" t="s">
        <v>234</v>
      </c>
      <c r="G145" s="5" t="s">
        <v>4239</v>
      </c>
      <c r="H145" s="4" t="s">
        <v>1383</v>
      </c>
    </row>
    <row r="146" customFormat="false" ht="21.75" hidden="false" customHeight="true" outlineLevel="0" collapsed="false">
      <c r="B146" s="6" t="s">
        <v>87</v>
      </c>
      <c r="C146" s="6" t="s">
        <v>1386</v>
      </c>
      <c r="D146" s="10" t="n">
        <v>3</v>
      </c>
      <c r="E146" s="6" t="s">
        <v>28</v>
      </c>
      <c r="F146" s="6" t="s">
        <v>244</v>
      </c>
      <c r="G146" s="7" t="s">
        <v>4239</v>
      </c>
      <c r="H146" s="6" t="s">
        <v>1391</v>
      </c>
    </row>
    <row r="147" customFormat="false" ht="21.75" hidden="false" customHeight="true" outlineLevel="0" collapsed="false">
      <c r="B147" s="4" t="s">
        <v>87</v>
      </c>
      <c r="C147" s="4" t="s">
        <v>1393</v>
      </c>
      <c r="D147" s="9" t="n">
        <v>3</v>
      </c>
      <c r="E147" s="4" t="s">
        <v>28</v>
      </c>
      <c r="F147" s="4" t="s">
        <v>335</v>
      </c>
      <c r="G147" s="5" t="s">
        <v>4239</v>
      </c>
      <c r="H147" s="4" t="s">
        <v>1397</v>
      </c>
    </row>
    <row r="148" customFormat="false" ht="21.75" hidden="false" customHeight="true" outlineLevel="0" collapsed="false">
      <c r="B148" s="6" t="s">
        <v>87</v>
      </c>
      <c r="C148" s="6" t="s">
        <v>1400</v>
      </c>
      <c r="D148" s="10" t="n">
        <v>3</v>
      </c>
      <c r="E148" s="6" t="s">
        <v>28</v>
      </c>
      <c r="F148" s="6" t="s">
        <v>234</v>
      </c>
      <c r="G148" s="7" t="s">
        <v>4239</v>
      </c>
      <c r="H148" s="6" t="s">
        <v>1405</v>
      </c>
    </row>
    <row r="149" customFormat="false" ht="21.75" hidden="false" customHeight="true" outlineLevel="0" collapsed="false">
      <c r="B149" s="4" t="s">
        <v>87</v>
      </c>
      <c r="C149" s="4" t="s">
        <v>1408</v>
      </c>
      <c r="D149" s="9" t="n">
        <v>2</v>
      </c>
      <c r="E149" s="4" t="s">
        <v>26</v>
      </c>
      <c r="F149" s="4" t="s">
        <v>389</v>
      </c>
      <c r="G149" s="5" t="s">
        <v>4239</v>
      </c>
      <c r="H149" s="4" t="s">
        <v>1413</v>
      </c>
    </row>
    <row r="150" customFormat="false" ht="21.75" hidden="false" customHeight="true" outlineLevel="0" collapsed="false">
      <c r="B150" s="6" t="s">
        <v>87</v>
      </c>
      <c r="C150" s="6" t="s">
        <v>1416</v>
      </c>
      <c r="D150" s="10" t="n">
        <v>2</v>
      </c>
      <c r="E150" s="6" t="s">
        <v>26</v>
      </c>
      <c r="F150" s="6" t="s">
        <v>389</v>
      </c>
      <c r="G150" s="7" t="s">
        <v>4239</v>
      </c>
      <c r="H150" s="6" t="s">
        <v>1421</v>
      </c>
    </row>
    <row r="151" customFormat="false" ht="21.75" hidden="false" customHeight="true" outlineLevel="0" collapsed="false">
      <c r="B151" s="4" t="s">
        <v>87</v>
      </c>
      <c r="C151" s="4" t="s">
        <v>1424</v>
      </c>
      <c r="D151" s="9" t="n">
        <v>2</v>
      </c>
      <c r="E151" s="4" t="s">
        <v>26</v>
      </c>
      <c r="F151" s="4" t="s">
        <v>335</v>
      </c>
      <c r="G151" s="5" t="s">
        <v>4239</v>
      </c>
      <c r="H151" s="4" t="s">
        <v>1429</v>
      </c>
    </row>
    <row r="152" customFormat="false" ht="21.75" hidden="false" customHeight="true" outlineLevel="0" collapsed="false">
      <c r="B152" s="6" t="s">
        <v>87</v>
      </c>
      <c r="C152" s="6" t="s">
        <v>1432</v>
      </c>
      <c r="D152" s="10" t="n">
        <v>4</v>
      </c>
      <c r="E152" s="6" t="s">
        <v>30</v>
      </c>
      <c r="F152" s="6" t="s">
        <v>234</v>
      </c>
      <c r="G152" s="7" t="s">
        <v>4239</v>
      </c>
      <c r="H152" s="6" t="s">
        <v>1437</v>
      </c>
    </row>
    <row r="153" customFormat="false" ht="21.75" hidden="false" customHeight="true" outlineLevel="0" collapsed="false">
      <c r="B153" s="4" t="s">
        <v>93</v>
      </c>
      <c r="C153" s="4" t="s">
        <v>1440</v>
      </c>
      <c r="D153" s="9" t="n">
        <v>3</v>
      </c>
      <c r="E153" s="4" t="s">
        <v>28</v>
      </c>
      <c r="F153" s="4" t="s">
        <v>260</v>
      </c>
      <c r="G153" s="5" t="s">
        <v>4239</v>
      </c>
      <c r="H153" s="4" t="s">
        <v>1445</v>
      </c>
    </row>
    <row r="154" customFormat="false" ht="21.75" hidden="false" customHeight="true" outlineLevel="0" collapsed="false">
      <c r="B154" s="6" t="s">
        <v>93</v>
      </c>
      <c r="C154" s="6" t="s">
        <v>1448</v>
      </c>
      <c r="D154" s="10" t="n">
        <v>2</v>
      </c>
      <c r="E154" s="6" t="s">
        <v>26</v>
      </c>
      <c r="F154" s="6" t="s">
        <v>244</v>
      </c>
      <c r="G154" s="7" t="s">
        <v>4239</v>
      </c>
      <c r="H154" s="6" t="s">
        <v>1453</v>
      </c>
    </row>
    <row r="155" customFormat="false" ht="21.75" hidden="false" customHeight="true" outlineLevel="0" collapsed="false">
      <c r="B155" s="4" t="s">
        <v>93</v>
      </c>
      <c r="C155" s="4" t="s">
        <v>1456</v>
      </c>
      <c r="D155" s="9" t="n">
        <v>2</v>
      </c>
      <c r="E155" s="4" t="s">
        <v>26</v>
      </c>
      <c r="F155" s="4" t="s">
        <v>244</v>
      </c>
      <c r="G155" s="5" t="s">
        <v>4239</v>
      </c>
      <c r="H155" s="4" t="s">
        <v>1461</v>
      </c>
    </row>
    <row r="156" customFormat="false" ht="21.75" hidden="false" customHeight="true" outlineLevel="0" collapsed="false">
      <c r="B156" s="6" t="s">
        <v>93</v>
      </c>
      <c r="C156" s="6" t="s">
        <v>1471</v>
      </c>
      <c r="D156" s="10" t="n">
        <v>4</v>
      </c>
      <c r="E156" s="6" t="s">
        <v>30</v>
      </c>
      <c r="F156" s="6" t="s">
        <v>234</v>
      </c>
      <c r="G156" s="7" t="s">
        <v>4239</v>
      </c>
      <c r="H156" s="6" t="s">
        <v>1476</v>
      </c>
    </row>
    <row r="157" customFormat="false" ht="21.75" hidden="false" customHeight="true" outlineLevel="0" collapsed="false">
      <c r="B157" s="4" t="s">
        <v>93</v>
      </c>
      <c r="C157" s="4" t="s">
        <v>1479</v>
      </c>
      <c r="D157" s="9" t="n">
        <v>1</v>
      </c>
      <c r="E157" s="4" t="s">
        <v>24</v>
      </c>
      <c r="F157" s="4" t="s">
        <v>335</v>
      </c>
      <c r="G157" s="5" t="s">
        <v>4239</v>
      </c>
      <c r="H157" s="4" t="s">
        <v>1484</v>
      </c>
    </row>
    <row r="158" customFormat="false" ht="21.75" hidden="false" customHeight="true" outlineLevel="0" collapsed="false">
      <c r="B158" s="6" t="s">
        <v>93</v>
      </c>
      <c r="C158" s="6" t="s">
        <v>1487</v>
      </c>
      <c r="D158" s="10" t="n">
        <v>4</v>
      </c>
      <c r="E158" s="6" t="s">
        <v>30</v>
      </c>
      <c r="F158" s="6" t="s">
        <v>234</v>
      </c>
      <c r="G158" s="7" t="s">
        <v>4239</v>
      </c>
      <c r="H158" s="6" t="s">
        <v>1492</v>
      </c>
    </row>
    <row r="159" customFormat="false" ht="21.75" hidden="false" customHeight="true" outlineLevel="0" collapsed="false">
      <c r="B159" s="4" t="s">
        <v>93</v>
      </c>
      <c r="C159" s="4" t="s">
        <v>1495</v>
      </c>
      <c r="D159" s="9" t="n">
        <v>3</v>
      </c>
      <c r="E159" s="4" t="s">
        <v>28</v>
      </c>
      <c r="F159" s="4" t="s">
        <v>260</v>
      </c>
      <c r="G159" s="5" t="s">
        <v>4239</v>
      </c>
      <c r="H159" s="4" t="s">
        <v>1499</v>
      </c>
    </row>
    <row r="160" customFormat="false" ht="21.75" hidden="false" customHeight="true" outlineLevel="0" collapsed="false">
      <c r="B160" s="6" t="s">
        <v>93</v>
      </c>
      <c r="C160" s="6" t="s">
        <v>1502</v>
      </c>
      <c r="D160" s="10" t="n">
        <v>2</v>
      </c>
      <c r="E160" s="6" t="s">
        <v>26</v>
      </c>
      <c r="F160" s="6" t="s">
        <v>244</v>
      </c>
      <c r="G160" s="7" t="s">
        <v>4239</v>
      </c>
      <c r="H160" s="6" t="s">
        <v>1507</v>
      </c>
    </row>
    <row r="161" customFormat="false" ht="21.75" hidden="false" customHeight="true" outlineLevel="0" collapsed="false">
      <c r="B161" s="4" t="s">
        <v>93</v>
      </c>
      <c r="C161" s="4" t="s">
        <v>1510</v>
      </c>
      <c r="D161" s="9" t="n">
        <v>4</v>
      </c>
      <c r="E161" s="4" t="s">
        <v>30</v>
      </c>
      <c r="F161" s="4" t="s">
        <v>234</v>
      </c>
      <c r="G161" s="5" t="s">
        <v>4239</v>
      </c>
      <c r="H161" s="4" t="s">
        <v>1515</v>
      </c>
    </row>
    <row r="162" customFormat="false" ht="21.75" hidden="false" customHeight="true" outlineLevel="0" collapsed="false">
      <c r="B162" s="6" t="s">
        <v>93</v>
      </c>
      <c r="C162" s="6" t="s">
        <v>1518</v>
      </c>
      <c r="D162" s="10" t="n">
        <v>2</v>
      </c>
      <c r="E162" s="6" t="s">
        <v>26</v>
      </c>
      <c r="F162" s="6" t="s">
        <v>389</v>
      </c>
      <c r="G162" s="7" t="s">
        <v>4239</v>
      </c>
      <c r="H162" s="6" t="s">
        <v>1523</v>
      </c>
    </row>
    <row r="163" customFormat="false" ht="21.75" hidden="false" customHeight="true" outlineLevel="0" collapsed="false">
      <c r="B163" s="4" t="s">
        <v>93</v>
      </c>
      <c r="C163" s="4" t="s">
        <v>1526</v>
      </c>
      <c r="D163" s="9" t="n">
        <v>4</v>
      </c>
      <c r="E163" s="4" t="s">
        <v>30</v>
      </c>
      <c r="F163" s="4" t="s">
        <v>335</v>
      </c>
      <c r="G163" s="5" t="s">
        <v>4239</v>
      </c>
      <c r="H163" s="4" t="s">
        <v>1531</v>
      </c>
    </row>
    <row r="164" customFormat="false" ht="21.75" hidden="false" customHeight="true" outlineLevel="0" collapsed="false">
      <c r="B164" s="6" t="s">
        <v>93</v>
      </c>
      <c r="C164" s="6" t="s">
        <v>1534</v>
      </c>
      <c r="D164" s="10" t="n">
        <v>3</v>
      </c>
      <c r="E164" s="6" t="s">
        <v>28</v>
      </c>
      <c r="F164" s="6" t="s">
        <v>234</v>
      </c>
      <c r="G164" s="7" t="s">
        <v>4239</v>
      </c>
      <c r="H164" s="6" t="s">
        <v>1539</v>
      </c>
    </row>
    <row r="165" customFormat="false" ht="21.75" hidden="false" customHeight="true" outlineLevel="0" collapsed="false">
      <c r="B165" s="4" t="s">
        <v>93</v>
      </c>
      <c r="C165" s="4" t="s">
        <v>1542</v>
      </c>
      <c r="D165" s="9" t="n">
        <v>4</v>
      </c>
      <c r="E165" s="4" t="s">
        <v>30</v>
      </c>
      <c r="F165" s="4" t="s">
        <v>234</v>
      </c>
      <c r="G165" s="5" t="s">
        <v>4239</v>
      </c>
      <c r="H165" s="4" t="s">
        <v>1547</v>
      </c>
    </row>
    <row r="166" customFormat="false" ht="21.75" hidden="false" customHeight="true" outlineLevel="0" collapsed="false">
      <c r="B166" s="6" t="s">
        <v>93</v>
      </c>
      <c r="C166" s="6" t="s">
        <v>1550</v>
      </c>
      <c r="D166" s="10" t="n">
        <v>4</v>
      </c>
      <c r="E166" s="6" t="s">
        <v>30</v>
      </c>
      <c r="F166" s="6" t="s">
        <v>234</v>
      </c>
      <c r="G166" s="7" t="s">
        <v>4239</v>
      </c>
      <c r="H166" s="6" t="s">
        <v>1555</v>
      </c>
    </row>
    <row r="167" customFormat="false" ht="21.75" hidden="false" customHeight="true" outlineLevel="0" collapsed="false">
      <c r="B167" s="4" t="s">
        <v>93</v>
      </c>
      <c r="C167" s="4" t="s">
        <v>1558</v>
      </c>
      <c r="D167" s="9" t="n">
        <v>4</v>
      </c>
      <c r="E167" s="4" t="s">
        <v>30</v>
      </c>
      <c r="F167" s="4" t="s">
        <v>335</v>
      </c>
      <c r="G167" s="5" t="s">
        <v>4239</v>
      </c>
      <c r="H167" s="4" t="s">
        <v>1563</v>
      </c>
    </row>
    <row r="168" customFormat="false" ht="21.75" hidden="false" customHeight="true" outlineLevel="0" collapsed="false">
      <c r="B168" s="6" t="s">
        <v>99</v>
      </c>
      <c r="C168" s="6" t="s">
        <v>1566</v>
      </c>
      <c r="D168" s="10" t="n">
        <v>0</v>
      </c>
      <c r="E168" s="6" t="s">
        <v>22</v>
      </c>
      <c r="F168" s="6" t="s">
        <v>260</v>
      </c>
      <c r="G168" s="7" t="s">
        <v>4239</v>
      </c>
      <c r="H168" s="6" t="s">
        <v>1571</v>
      </c>
    </row>
    <row r="169" customFormat="false" ht="21.75" hidden="false" customHeight="true" outlineLevel="0" collapsed="false">
      <c r="B169" s="4" t="s">
        <v>99</v>
      </c>
      <c r="C169" s="4" t="s">
        <v>1574</v>
      </c>
      <c r="D169" s="9" t="n">
        <v>0</v>
      </c>
      <c r="E169" s="4" t="s">
        <v>22</v>
      </c>
      <c r="F169" s="4" t="s">
        <v>335</v>
      </c>
      <c r="G169" s="5" t="s">
        <v>4239</v>
      </c>
      <c r="H169" s="4" t="s">
        <v>1578</v>
      </c>
    </row>
    <row r="170" customFormat="false" ht="21.75" hidden="false" customHeight="true" outlineLevel="0" collapsed="false">
      <c r="B170" s="6" t="s">
        <v>99</v>
      </c>
      <c r="C170" s="6" t="s">
        <v>1581</v>
      </c>
      <c r="D170" s="10" t="n">
        <v>0</v>
      </c>
      <c r="E170" s="6" t="s">
        <v>22</v>
      </c>
      <c r="F170" s="6" t="s">
        <v>291</v>
      </c>
      <c r="G170" s="7" t="s">
        <v>4239</v>
      </c>
      <c r="H170" s="6" t="s">
        <v>1586</v>
      </c>
    </row>
    <row r="171" customFormat="false" ht="21.75" hidden="false" customHeight="true" outlineLevel="0" collapsed="false">
      <c r="B171" s="4" t="s">
        <v>99</v>
      </c>
      <c r="C171" s="4" t="s">
        <v>1589</v>
      </c>
      <c r="D171" s="9" t="n">
        <v>1</v>
      </c>
      <c r="E171" s="4" t="s">
        <v>24</v>
      </c>
      <c r="F171" s="4" t="s">
        <v>469</v>
      </c>
      <c r="G171" s="5" t="s">
        <v>4239</v>
      </c>
      <c r="H171" s="4" t="s">
        <v>1594</v>
      </c>
    </row>
    <row r="172" customFormat="false" ht="21.75" hidden="false" customHeight="true" outlineLevel="0" collapsed="false">
      <c r="B172" s="6" t="s">
        <v>99</v>
      </c>
      <c r="C172" s="6" t="s">
        <v>1597</v>
      </c>
      <c r="D172" s="10" t="n">
        <v>1</v>
      </c>
      <c r="E172" s="6" t="s">
        <v>24</v>
      </c>
      <c r="F172" s="6" t="s">
        <v>469</v>
      </c>
      <c r="G172" s="7" t="s">
        <v>4239</v>
      </c>
      <c r="H172" s="6" t="s">
        <v>1602</v>
      </c>
    </row>
    <row r="173" customFormat="false" ht="21.75" hidden="false" customHeight="true" outlineLevel="0" collapsed="false">
      <c r="B173" s="4" t="s">
        <v>99</v>
      </c>
      <c r="C173" s="4" t="s">
        <v>1624</v>
      </c>
      <c r="D173" s="9" t="n">
        <v>1</v>
      </c>
      <c r="E173" s="4" t="s">
        <v>24</v>
      </c>
      <c r="F173" s="4" t="s">
        <v>260</v>
      </c>
      <c r="G173" s="5" t="s">
        <v>4239</v>
      </c>
      <c r="H173" s="4" t="s">
        <v>1629</v>
      </c>
    </row>
    <row r="174" customFormat="false" ht="21.75" hidden="false" customHeight="true" outlineLevel="0" collapsed="false">
      <c r="B174" s="6" t="s">
        <v>99</v>
      </c>
      <c r="C174" s="6" t="s">
        <v>1632</v>
      </c>
      <c r="D174" s="10" t="n">
        <v>1</v>
      </c>
      <c r="E174" s="6" t="s">
        <v>24</v>
      </c>
      <c r="F174" s="6" t="s">
        <v>260</v>
      </c>
      <c r="G174" s="7" t="s">
        <v>4239</v>
      </c>
      <c r="H174" s="6" t="s">
        <v>1637</v>
      </c>
    </row>
    <row r="175" customFormat="false" ht="21.75" hidden="false" customHeight="true" outlineLevel="0" collapsed="false">
      <c r="B175" s="4" t="s">
        <v>99</v>
      </c>
      <c r="C175" s="4" t="s">
        <v>1640</v>
      </c>
      <c r="D175" s="9" t="n">
        <v>1</v>
      </c>
      <c r="E175" s="4" t="s">
        <v>24</v>
      </c>
      <c r="F175" s="4" t="s">
        <v>260</v>
      </c>
      <c r="G175" s="5" t="s">
        <v>4239</v>
      </c>
      <c r="H175" s="4" t="s">
        <v>1645</v>
      </c>
    </row>
    <row r="176" customFormat="false" ht="21.75" hidden="false" customHeight="true" outlineLevel="0" collapsed="false">
      <c r="B176" s="6" t="s">
        <v>99</v>
      </c>
      <c r="C176" s="6" t="s">
        <v>1655</v>
      </c>
      <c r="D176" s="10" t="n">
        <v>1</v>
      </c>
      <c r="E176" s="6" t="s">
        <v>24</v>
      </c>
      <c r="F176" s="6" t="s">
        <v>244</v>
      </c>
      <c r="G176" s="7" t="s">
        <v>4239</v>
      </c>
      <c r="H176" s="6" t="s">
        <v>1660</v>
      </c>
    </row>
    <row r="177" customFormat="false" ht="21.75" hidden="false" customHeight="true" outlineLevel="0" collapsed="false">
      <c r="B177" s="4" t="s">
        <v>99</v>
      </c>
      <c r="C177" s="4" t="s">
        <v>1663</v>
      </c>
      <c r="D177" s="9" t="n">
        <v>1</v>
      </c>
      <c r="E177" s="4" t="s">
        <v>24</v>
      </c>
      <c r="F177" s="4" t="s">
        <v>291</v>
      </c>
      <c r="G177" s="5" t="s">
        <v>4239</v>
      </c>
      <c r="H177" s="4" t="s">
        <v>1668</v>
      </c>
    </row>
    <row r="178" customFormat="false" ht="21.75" hidden="false" customHeight="true" outlineLevel="0" collapsed="false">
      <c r="B178" s="6" t="s">
        <v>99</v>
      </c>
      <c r="C178" s="6" t="s">
        <v>1671</v>
      </c>
      <c r="D178" s="10" t="n">
        <v>2</v>
      </c>
      <c r="E178" s="6" t="s">
        <v>26</v>
      </c>
      <c r="F178" s="6" t="s">
        <v>389</v>
      </c>
      <c r="G178" s="7" t="s">
        <v>4239</v>
      </c>
      <c r="H178" s="6" t="s">
        <v>1676</v>
      </c>
    </row>
    <row r="179" customFormat="false" ht="21.75" hidden="false" customHeight="true" outlineLevel="0" collapsed="false">
      <c r="B179" s="4" t="s">
        <v>99</v>
      </c>
      <c r="C179" s="4" t="s">
        <v>1679</v>
      </c>
      <c r="D179" s="9" t="n">
        <v>2</v>
      </c>
      <c r="E179" s="4" t="s">
        <v>26</v>
      </c>
      <c r="F179" s="4" t="s">
        <v>291</v>
      </c>
      <c r="G179" s="5" t="s">
        <v>4239</v>
      </c>
      <c r="H179" s="4" t="s">
        <v>1684</v>
      </c>
    </row>
    <row r="180" customFormat="false" ht="21.75" hidden="false" customHeight="true" outlineLevel="0" collapsed="false">
      <c r="B180" s="6" t="s">
        <v>99</v>
      </c>
      <c r="C180" s="6" t="s">
        <v>1687</v>
      </c>
      <c r="D180" s="10" t="n">
        <v>2</v>
      </c>
      <c r="E180" s="6" t="s">
        <v>26</v>
      </c>
      <c r="F180" s="6" t="s">
        <v>260</v>
      </c>
      <c r="G180" s="7" t="s">
        <v>4239</v>
      </c>
      <c r="H180" s="6" t="s">
        <v>1692</v>
      </c>
    </row>
    <row r="181" customFormat="false" ht="21.75" hidden="false" customHeight="true" outlineLevel="0" collapsed="false">
      <c r="B181" s="4" t="s">
        <v>99</v>
      </c>
      <c r="C181" s="4" t="s">
        <v>1695</v>
      </c>
      <c r="D181" s="9" t="n">
        <v>2</v>
      </c>
      <c r="E181" s="4" t="s">
        <v>26</v>
      </c>
      <c r="F181" s="4" t="s">
        <v>291</v>
      </c>
      <c r="G181" s="5" t="s">
        <v>4239</v>
      </c>
      <c r="H181" s="4" t="s">
        <v>1700</v>
      </c>
    </row>
    <row r="182" customFormat="false" ht="21.75" hidden="false" customHeight="true" outlineLevel="0" collapsed="false">
      <c r="B182" s="6" t="s">
        <v>99</v>
      </c>
      <c r="C182" s="6" t="s">
        <v>1703</v>
      </c>
      <c r="D182" s="10" t="n">
        <v>1</v>
      </c>
      <c r="E182" s="6" t="s">
        <v>24</v>
      </c>
      <c r="F182" s="6" t="s">
        <v>260</v>
      </c>
      <c r="G182" s="7" t="s">
        <v>4239</v>
      </c>
      <c r="H182" s="6" t="s">
        <v>1708</v>
      </c>
    </row>
    <row r="183" customFormat="false" ht="21.75" hidden="false" customHeight="true" outlineLevel="0" collapsed="false">
      <c r="B183" s="4" t="s">
        <v>99</v>
      </c>
      <c r="C183" s="4" t="s">
        <v>1711</v>
      </c>
      <c r="D183" s="9" t="n">
        <v>2</v>
      </c>
      <c r="E183" s="4" t="s">
        <v>26</v>
      </c>
      <c r="F183" s="4" t="s">
        <v>291</v>
      </c>
      <c r="G183" s="5" t="s">
        <v>4239</v>
      </c>
      <c r="H183" s="4" t="s">
        <v>1716</v>
      </c>
    </row>
    <row r="184" customFormat="false" ht="21.75" hidden="false" customHeight="true" outlineLevel="0" collapsed="false">
      <c r="B184" s="6" t="s">
        <v>99</v>
      </c>
      <c r="C184" s="6" t="s">
        <v>1719</v>
      </c>
      <c r="D184" s="10" t="n">
        <v>1</v>
      </c>
      <c r="E184" s="6" t="s">
        <v>24</v>
      </c>
      <c r="F184" s="6" t="s">
        <v>291</v>
      </c>
      <c r="G184" s="7" t="s">
        <v>4239</v>
      </c>
      <c r="H184" s="6" t="s">
        <v>1724</v>
      </c>
    </row>
    <row r="185" customFormat="false" ht="21.75" hidden="false" customHeight="true" outlineLevel="0" collapsed="false">
      <c r="B185" s="4" t="s">
        <v>99</v>
      </c>
      <c r="C185" s="4" t="s">
        <v>1727</v>
      </c>
      <c r="D185" s="9" t="n">
        <v>1</v>
      </c>
      <c r="E185" s="4" t="s">
        <v>24</v>
      </c>
      <c r="F185" s="4" t="s">
        <v>244</v>
      </c>
      <c r="G185" s="5" t="s">
        <v>4239</v>
      </c>
      <c r="H185" s="4" t="s">
        <v>1732</v>
      </c>
    </row>
    <row r="186" customFormat="false" ht="21.75" hidden="false" customHeight="true" outlineLevel="0" collapsed="false">
      <c r="B186" s="6" t="s">
        <v>99</v>
      </c>
      <c r="C186" s="6" t="s">
        <v>1735</v>
      </c>
      <c r="D186" s="10" t="n">
        <v>1</v>
      </c>
      <c r="E186" s="6" t="s">
        <v>24</v>
      </c>
      <c r="F186" s="6" t="s">
        <v>234</v>
      </c>
      <c r="G186" s="7" t="s">
        <v>4239</v>
      </c>
      <c r="H186" s="6" t="s">
        <v>1740</v>
      </c>
    </row>
    <row r="187" customFormat="false" ht="21.75" hidden="false" customHeight="true" outlineLevel="0" collapsed="false">
      <c r="B187" s="4" t="s">
        <v>99</v>
      </c>
      <c r="C187" s="4" t="s">
        <v>1743</v>
      </c>
      <c r="D187" s="9" t="n">
        <v>2</v>
      </c>
      <c r="E187" s="4" t="s">
        <v>26</v>
      </c>
      <c r="F187" s="4" t="s">
        <v>244</v>
      </c>
      <c r="G187" s="5" t="s">
        <v>4239</v>
      </c>
      <c r="H187" s="4" t="s">
        <v>1748</v>
      </c>
    </row>
    <row r="188" customFormat="false" ht="21.75" hidden="false" customHeight="true" outlineLevel="0" collapsed="false">
      <c r="B188" s="6" t="s">
        <v>99</v>
      </c>
      <c r="C188" s="6" t="s">
        <v>1751</v>
      </c>
      <c r="D188" s="10" t="n">
        <v>3</v>
      </c>
      <c r="E188" s="6" t="s">
        <v>28</v>
      </c>
      <c r="F188" s="6" t="s">
        <v>260</v>
      </c>
      <c r="G188" s="7" t="s">
        <v>4239</v>
      </c>
      <c r="H188" s="6" t="s">
        <v>1756</v>
      </c>
    </row>
    <row r="189" customFormat="false" ht="21.75" hidden="false" customHeight="true" outlineLevel="0" collapsed="false">
      <c r="B189" s="4" t="s">
        <v>99</v>
      </c>
      <c r="C189" s="4" t="s">
        <v>1759</v>
      </c>
      <c r="D189" s="9" t="n">
        <v>4</v>
      </c>
      <c r="E189" s="4" t="s">
        <v>30</v>
      </c>
      <c r="F189" s="4" t="s">
        <v>234</v>
      </c>
      <c r="G189" s="5" t="s">
        <v>4239</v>
      </c>
      <c r="H189" s="4" t="s">
        <v>1764</v>
      </c>
    </row>
    <row r="190" customFormat="false" ht="21.75" hidden="false" customHeight="true" outlineLevel="0" collapsed="false">
      <c r="B190" s="6" t="s">
        <v>99</v>
      </c>
      <c r="C190" s="6" t="s">
        <v>1774</v>
      </c>
      <c r="D190" s="10" t="n">
        <v>4</v>
      </c>
      <c r="E190" s="6" t="s">
        <v>30</v>
      </c>
      <c r="F190" s="6" t="s">
        <v>234</v>
      </c>
      <c r="G190" s="7" t="s">
        <v>4239</v>
      </c>
      <c r="H190" s="6" t="s">
        <v>1779</v>
      </c>
    </row>
    <row r="191" customFormat="false" ht="21.75" hidden="false" customHeight="true" outlineLevel="0" collapsed="false">
      <c r="B191" s="4" t="s">
        <v>106</v>
      </c>
      <c r="C191" s="4" t="s">
        <v>1794</v>
      </c>
      <c r="D191" s="9" t="n">
        <v>1</v>
      </c>
      <c r="E191" s="4" t="s">
        <v>24</v>
      </c>
      <c r="F191" s="4" t="s">
        <v>260</v>
      </c>
      <c r="G191" s="5" t="s">
        <v>4239</v>
      </c>
      <c r="H191" s="4" t="s">
        <v>1799</v>
      </c>
    </row>
    <row r="192" customFormat="false" ht="21.75" hidden="false" customHeight="true" outlineLevel="0" collapsed="false">
      <c r="B192" s="6" t="s">
        <v>106</v>
      </c>
      <c r="C192" s="6" t="s">
        <v>1815</v>
      </c>
      <c r="D192" s="10" t="n">
        <v>1</v>
      </c>
      <c r="E192" s="6" t="s">
        <v>24</v>
      </c>
      <c r="F192" s="6" t="s">
        <v>260</v>
      </c>
      <c r="G192" s="7" t="s">
        <v>4239</v>
      </c>
      <c r="H192" s="6" t="s">
        <v>1820</v>
      </c>
    </row>
    <row r="193" customFormat="false" ht="21.75" hidden="false" customHeight="true" outlineLevel="0" collapsed="false">
      <c r="B193" s="4" t="s">
        <v>106</v>
      </c>
      <c r="C193" s="4" t="s">
        <v>1823</v>
      </c>
      <c r="D193" s="9" t="n">
        <v>1</v>
      </c>
      <c r="E193" s="4" t="s">
        <v>24</v>
      </c>
      <c r="F193" s="4" t="s">
        <v>291</v>
      </c>
      <c r="G193" s="5" t="s">
        <v>4239</v>
      </c>
      <c r="H193" s="4" t="s">
        <v>1828</v>
      </c>
    </row>
    <row r="194" customFormat="false" ht="21.75" hidden="false" customHeight="true" outlineLevel="0" collapsed="false">
      <c r="B194" s="6" t="s">
        <v>106</v>
      </c>
      <c r="C194" s="6" t="s">
        <v>1831</v>
      </c>
      <c r="D194" s="10" t="n">
        <v>1</v>
      </c>
      <c r="E194" s="6" t="s">
        <v>24</v>
      </c>
      <c r="F194" s="6" t="s">
        <v>244</v>
      </c>
      <c r="G194" s="7" t="s">
        <v>4239</v>
      </c>
      <c r="H194" s="6" t="s">
        <v>1836</v>
      </c>
    </row>
    <row r="195" customFormat="false" ht="21.75" hidden="false" customHeight="true" outlineLevel="0" collapsed="false">
      <c r="B195" s="4" t="s">
        <v>106</v>
      </c>
      <c r="C195" s="4" t="s">
        <v>1839</v>
      </c>
      <c r="D195" s="9" t="n">
        <v>1</v>
      </c>
      <c r="E195" s="4" t="s">
        <v>24</v>
      </c>
      <c r="F195" s="4" t="s">
        <v>389</v>
      </c>
      <c r="G195" s="5" t="s">
        <v>4239</v>
      </c>
      <c r="H195" s="4" t="s">
        <v>1844</v>
      </c>
    </row>
    <row r="196" customFormat="false" ht="21.75" hidden="false" customHeight="true" outlineLevel="0" collapsed="false">
      <c r="B196" s="6" t="s">
        <v>106</v>
      </c>
      <c r="C196" s="6" t="s">
        <v>1847</v>
      </c>
      <c r="D196" s="10" t="n">
        <v>2</v>
      </c>
      <c r="E196" s="6" t="s">
        <v>26</v>
      </c>
      <c r="F196" s="6" t="s">
        <v>389</v>
      </c>
      <c r="G196" s="7" t="s">
        <v>4239</v>
      </c>
      <c r="H196" s="6" t="s">
        <v>1852</v>
      </c>
    </row>
    <row r="197" customFormat="false" ht="21.75" hidden="false" customHeight="true" outlineLevel="0" collapsed="false">
      <c r="B197" s="4" t="s">
        <v>106</v>
      </c>
      <c r="C197" s="4" t="s">
        <v>1855</v>
      </c>
      <c r="D197" s="9" t="n">
        <v>2</v>
      </c>
      <c r="E197" s="4" t="s">
        <v>26</v>
      </c>
      <c r="F197" s="4" t="s">
        <v>260</v>
      </c>
      <c r="G197" s="5" t="s">
        <v>4239</v>
      </c>
      <c r="H197" s="4" t="s">
        <v>1860</v>
      </c>
    </row>
    <row r="198" customFormat="false" ht="21.75" hidden="false" customHeight="true" outlineLevel="0" collapsed="false">
      <c r="B198" s="6" t="s">
        <v>106</v>
      </c>
      <c r="C198" s="6" t="s">
        <v>1862</v>
      </c>
      <c r="D198" s="10" t="n">
        <v>2</v>
      </c>
      <c r="E198" s="6" t="s">
        <v>26</v>
      </c>
      <c r="F198" s="6" t="s">
        <v>260</v>
      </c>
      <c r="G198" s="7" t="s">
        <v>4239</v>
      </c>
      <c r="H198" s="6" t="s">
        <v>1867</v>
      </c>
    </row>
    <row r="199" customFormat="false" ht="21.75" hidden="false" customHeight="true" outlineLevel="0" collapsed="false">
      <c r="B199" s="4" t="s">
        <v>106</v>
      </c>
      <c r="C199" s="4" t="s">
        <v>1890</v>
      </c>
      <c r="D199" s="9" t="n">
        <v>4</v>
      </c>
      <c r="E199" s="4" t="s">
        <v>30</v>
      </c>
      <c r="F199" s="4" t="s">
        <v>234</v>
      </c>
      <c r="G199" s="5" t="s">
        <v>4239</v>
      </c>
      <c r="H199" s="4" t="s">
        <v>1895</v>
      </c>
    </row>
    <row r="200" customFormat="false" ht="21.75" hidden="false" customHeight="true" outlineLevel="0" collapsed="false">
      <c r="B200" s="6" t="s">
        <v>106</v>
      </c>
      <c r="C200" s="6" t="s">
        <v>1898</v>
      </c>
      <c r="D200" s="10" t="n">
        <v>4</v>
      </c>
      <c r="E200" s="6" t="s">
        <v>30</v>
      </c>
      <c r="F200" s="6" t="s">
        <v>234</v>
      </c>
      <c r="G200" s="7" t="s">
        <v>4239</v>
      </c>
      <c r="H200" s="6" t="s">
        <v>1903</v>
      </c>
    </row>
    <row r="201" customFormat="false" ht="21.75" hidden="false" customHeight="true" outlineLevel="0" collapsed="false">
      <c r="B201" s="4" t="s">
        <v>112</v>
      </c>
      <c r="C201" s="4" t="s">
        <v>1913</v>
      </c>
      <c r="D201" s="9" t="n">
        <v>0</v>
      </c>
      <c r="E201" s="4" t="s">
        <v>22</v>
      </c>
      <c r="F201" s="4" t="s">
        <v>260</v>
      </c>
      <c r="G201" s="5" t="s">
        <v>4239</v>
      </c>
      <c r="H201" s="4" t="s">
        <v>1918</v>
      </c>
    </row>
    <row r="202" customFormat="false" ht="21.75" hidden="false" customHeight="true" outlineLevel="0" collapsed="false">
      <c r="B202" s="6" t="s">
        <v>112</v>
      </c>
      <c r="C202" s="6" t="s">
        <v>1928</v>
      </c>
      <c r="D202" s="10" t="n">
        <v>1</v>
      </c>
      <c r="E202" s="6" t="s">
        <v>24</v>
      </c>
      <c r="F202" s="6" t="s">
        <v>389</v>
      </c>
      <c r="G202" s="7" t="s">
        <v>4239</v>
      </c>
      <c r="H202" s="6" t="s">
        <v>1933</v>
      </c>
    </row>
    <row r="203" customFormat="false" ht="21.75" hidden="false" customHeight="true" outlineLevel="0" collapsed="false">
      <c r="B203" s="4" t="s">
        <v>112</v>
      </c>
      <c r="C203" s="4" t="s">
        <v>1936</v>
      </c>
      <c r="D203" s="9" t="n">
        <v>1</v>
      </c>
      <c r="E203" s="4" t="s">
        <v>24</v>
      </c>
      <c r="F203" s="4" t="s">
        <v>244</v>
      </c>
      <c r="G203" s="5" t="s">
        <v>4239</v>
      </c>
      <c r="H203" s="4" t="s">
        <v>1941</v>
      </c>
    </row>
    <row r="204" customFormat="false" ht="21.75" hidden="false" customHeight="true" outlineLevel="0" collapsed="false">
      <c r="B204" s="6" t="s">
        <v>112</v>
      </c>
      <c r="C204" s="6" t="s">
        <v>1944</v>
      </c>
      <c r="D204" s="10" t="n">
        <v>1</v>
      </c>
      <c r="E204" s="6" t="s">
        <v>24</v>
      </c>
      <c r="F204" s="6" t="s">
        <v>335</v>
      </c>
      <c r="G204" s="7" t="s">
        <v>4239</v>
      </c>
      <c r="H204" s="6" t="s">
        <v>1949</v>
      </c>
    </row>
    <row r="205" customFormat="false" ht="21.75" hidden="false" customHeight="true" outlineLevel="0" collapsed="false">
      <c r="B205" s="4" t="s">
        <v>112</v>
      </c>
      <c r="C205" s="4" t="s">
        <v>1965</v>
      </c>
      <c r="D205" s="9" t="n">
        <v>2</v>
      </c>
      <c r="E205" s="4" t="s">
        <v>26</v>
      </c>
      <c r="F205" s="4" t="s">
        <v>291</v>
      </c>
      <c r="G205" s="5" t="s">
        <v>4239</v>
      </c>
      <c r="H205" s="4" t="s">
        <v>1970</v>
      </c>
    </row>
    <row r="206" customFormat="false" ht="21.75" hidden="false" customHeight="true" outlineLevel="0" collapsed="false">
      <c r="B206" s="6" t="s">
        <v>112</v>
      </c>
      <c r="C206" s="6" t="s">
        <v>1973</v>
      </c>
      <c r="D206" s="10" t="n">
        <v>2</v>
      </c>
      <c r="E206" s="6" t="s">
        <v>26</v>
      </c>
      <c r="F206" s="6" t="s">
        <v>335</v>
      </c>
      <c r="G206" s="7" t="s">
        <v>4239</v>
      </c>
      <c r="H206" s="6" t="s">
        <v>1978</v>
      </c>
    </row>
    <row r="207" customFormat="false" ht="21.75" hidden="false" customHeight="true" outlineLevel="0" collapsed="false">
      <c r="B207" s="4" t="s">
        <v>112</v>
      </c>
      <c r="C207" s="4" t="s">
        <v>1981</v>
      </c>
      <c r="D207" s="9" t="n">
        <v>2</v>
      </c>
      <c r="E207" s="4" t="s">
        <v>26</v>
      </c>
      <c r="F207" s="4" t="s">
        <v>389</v>
      </c>
      <c r="G207" s="5" t="s">
        <v>4239</v>
      </c>
      <c r="H207" s="4" t="s">
        <v>1986</v>
      </c>
    </row>
    <row r="208" customFormat="false" ht="21.75" hidden="false" customHeight="true" outlineLevel="0" collapsed="false">
      <c r="B208" s="6" t="s">
        <v>112</v>
      </c>
      <c r="C208" s="6" t="s">
        <v>1996</v>
      </c>
      <c r="D208" s="10" t="n">
        <v>2</v>
      </c>
      <c r="E208" s="6" t="s">
        <v>26</v>
      </c>
      <c r="F208" s="6" t="s">
        <v>389</v>
      </c>
      <c r="G208" s="7" t="s">
        <v>4239</v>
      </c>
      <c r="H208" s="6" t="s">
        <v>2001</v>
      </c>
    </row>
    <row r="209" customFormat="false" ht="21.75" hidden="false" customHeight="true" outlineLevel="0" collapsed="false">
      <c r="B209" s="4" t="s">
        <v>112</v>
      </c>
      <c r="C209" s="4" t="s">
        <v>2004</v>
      </c>
      <c r="D209" s="9" t="n">
        <v>1</v>
      </c>
      <c r="E209" s="4" t="s">
        <v>24</v>
      </c>
      <c r="F209" s="4" t="s">
        <v>469</v>
      </c>
      <c r="G209" s="5" t="s">
        <v>4239</v>
      </c>
      <c r="H209" s="4" t="s">
        <v>2009</v>
      </c>
    </row>
    <row r="210" customFormat="false" ht="21.75" hidden="false" customHeight="true" outlineLevel="0" collapsed="false">
      <c r="B210" s="6" t="s">
        <v>112</v>
      </c>
      <c r="C210" s="6" t="s">
        <v>2012</v>
      </c>
      <c r="D210" s="10" t="n">
        <v>1</v>
      </c>
      <c r="E210" s="6" t="s">
        <v>24</v>
      </c>
      <c r="F210" s="6" t="s">
        <v>244</v>
      </c>
      <c r="G210" s="7" t="s">
        <v>4239</v>
      </c>
      <c r="H210" s="6" t="s">
        <v>2017</v>
      </c>
    </row>
    <row r="211" customFormat="false" ht="21.75" hidden="false" customHeight="true" outlineLevel="0" collapsed="false">
      <c r="B211" s="4" t="s">
        <v>112</v>
      </c>
      <c r="C211" s="4" t="s">
        <v>2020</v>
      </c>
      <c r="D211" s="9" t="n">
        <v>2</v>
      </c>
      <c r="E211" s="4" t="s">
        <v>26</v>
      </c>
      <c r="F211" s="4" t="s">
        <v>291</v>
      </c>
      <c r="G211" s="5" t="s">
        <v>4239</v>
      </c>
      <c r="H211" s="4" t="s">
        <v>2025</v>
      </c>
    </row>
    <row r="212" customFormat="false" ht="21.75" hidden="false" customHeight="true" outlineLevel="0" collapsed="false">
      <c r="B212" s="6" t="s">
        <v>112</v>
      </c>
      <c r="C212" s="6" t="s">
        <v>2028</v>
      </c>
      <c r="D212" s="10" t="n">
        <v>1</v>
      </c>
      <c r="E212" s="6" t="s">
        <v>24</v>
      </c>
      <c r="F212" s="6" t="s">
        <v>335</v>
      </c>
      <c r="G212" s="7" t="s">
        <v>4239</v>
      </c>
      <c r="H212" s="6" t="s">
        <v>2033</v>
      </c>
    </row>
    <row r="213" customFormat="false" ht="21.75" hidden="false" customHeight="true" outlineLevel="0" collapsed="false">
      <c r="B213" s="4" t="s">
        <v>112</v>
      </c>
      <c r="C213" s="4" t="s">
        <v>2036</v>
      </c>
      <c r="D213" s="9" t="n">
        <v>4</v>
      </c>
      <c r="E213" s="4" t="s">
        <v>30</v>
      </c>
      <c r="F213" s="4" t="s">
        <v>234</v>
      </c>
      <c r="G213" s="5" t="s">
        <v>4239</v>
      </c>
      <c r="H213" s="4" t="s">
        <v>2041</v>
      </c>
    </row>
    <row r="214" customFormat="false" ht="21.75" hidden="false" customHeight="true" outlineLevel="0" collapsed="false">
      <c r="B214" s="6" t="s">
        <v>112</v>
      </c>
      <c r="C214" s="6" t="s">
        <v>2050</v>
      </c>
      <c r="D214" s="10" t="n">
        <v>4</v>
      </c>
      <c r="E214" s="6" t="s">
        <v>30</v>
      </c>
      <c r="F214" s="6" t="s">
        <v>234</v>
      </c>
      <c r="G214" s="7" t="s">
        <v>4239</v>
      </c>
      <c r="H214" s="6" t="s">
        <v>2055</v>
      </c>
    </row>
    <row r="215" customFormat="false" ht="21.75" hidden="false" customHeight="true" outlineLevel="0" collapsed="false">
      <c r="B215" s="4" t="s">
        <v>112</v>
      </c>
      <c r="C215" s="4" t="s">
        <v>2065</v>
      </c>
      <c r="D215" s="9" t="n">
        <v>0</v>
      </c>
      <c r="E215" s="4" t="s">
        <v>22</v>
      </c>
      <c r="F215" s="4" t="s">
        <v>234</v>
      </c>
      <c r="G215" s="5" t="s">
        <v>4239</v>
      </c>
      <c r="H215" s="4" t="s">
        <v>2070</v>
      </c>
    </row>
    <row r="216" customFormat="false" ht="21.75" hidden="false" customHeight="true" outlineLevel="0" collapsed="false">
      <c r="B216" s="6" t="s">
        <v>112</v>
      </c>
      <c r="C216" s="6" t="s">
        <v>2073</v>
      </c>
      <c r="D216" s="10" t="n">
        <v>2</v>
      </c>
      <c r="E216" s="6" t="s">
        <v>26</v>
      </c>
      <c r="F216" s="6" t="s">
        <v>389</v>
      </c>
      <c r="G216" s="7" t="s">
        <v>4239</v>
      </c>
      <c r="H216" s="6" t="s">
        <v>2078</v>
      </c>
    </row>
    <row r="217" customFormat="false" ht="21.75" hidden="false" customHeight="true" outlineLevel="0" collapsed="false">
      <c r="B217" s="4" t="s">
        <v>118</v>
      </c>
      <c r="C217" s="4" t="s">
        <v>2081</v>
      </c>
      <c r="D217" s="9" t="n">
        <v>0</v>
      </c>
      <c r="E217" s="4" t="s">
        <v>22</v>
      </c>
      <c r="F217" s="4" t="s">
        <v>244</v>
      </c>
      <c r="G217" s="5" t="s">
        <v>4239</v>
      </c>
      <c r="H217" s="4" t="s">
        <v>2084</v>
      </c>
    </row>
    <row r="218" customFormat="false" ht="21.75" hidden="false" customHeight="true" outlineLevel="0" collapsed="false">
      <c r="B218" s="6" t="s">
        <v>118</v>
      </c>
      <c r="C218" s="6" t="s">
        <v>2092</v>
      </c>
      <c r="D218" s="10" t="n">
        <v>0</v>
      </c>
      <c r="E218" s="6" t="s">
        <v>22</v>
      </c>
      <c r="F218" s="6" t="s">
        <v>244</v>
      </c>
      <c r="G218" s="7" t="s">
        <v>4239</v>
      </c>
      <c r="H218" s="6" t="s">
        <v>2097</v>
      </c>
    </row>
    <row r="219" customFormat="false" ht="21.75" hidden="false" customHeight="true" outlineLevel="0" collapsed="false">
      <c r="B219" s="4" t="s">
        <v>118</v>
      </c>
      <c r="C219" s="4" t="s">
        <v>2099</v>
      </c>
      <c r="D219" s="9" t="n">
        <v>1</v>
      </c>
      <c r="E219" s="4" t="s">
        <v>24</v>
      </c>
      <c r="F219" s="4" t="s">
        <v>244</v>
      </c>
      <c r="G219" s="5" t="s">
        <v>4239</v>
      </c>
      <c r="H219" s="4" t="s">
        <v>2104</v>
      </c>
    </row>
    <row r="220" customFormat="false" ht="21.75" hidden="false" customHeight="true" outlineLevel="0" collapsed="false">
      <c r="B220" s="6" t="s">
        <v>118</v>
      </c>
      <c r="C220" s="6" t="s">
        <v>2107</v>
      </c>
      <c r="D220" s="10" t="n">
        <v>1</v>
      </c>
      <c r="E220" s="6" t="s">
        <v>24</v>
      </c>
      <c r="F220" s="6" t="s">
        <v>244</v>
      </c>
      <c r="G220" s="7" t="s">
        <v>4239</v>
      </c>
      <c r="H220" s="6" t="s">
        <v>2111</v>
      </c>
    </row>
    <row r="221" customFormat="false" ht="21.75" hidden="false" customHeight="true" outlineLevel="0" collapsed="false">
      <c r="B221" s="4" t="s">
        <v>118</v>
      </c>
      <c r="C221" s="4" t="s">
        <v>2114</v>
      </c>
      <c r="D221" s="9" t="n">
        <v>1</v>
      </c>
      <c r="E221" s="4" t="s">
        <v>24</v>
      </c>
      <c r="F221" s="4" t="s">
        <v>244</v>
      </c>
      <c r="G221" s="5" t="s">
        <v>4239</v>
      </c>
      <c r="H221" s="4" t="s">
        <v>2119</v>
      </c>
    </row>
    <row r="222" customFormat="false" ht="21.75" hidden="false" customHeight="true" outlineLevel="0" collapsed="false">
      <c r="B222" s="6" t="s">
        <v>118</v>
      </c>
      <c r="C222" s="6" t="s">
        <v>2122</v>
      </c>
      <c r="D222" s="10" t="n">
        <v>1</v>
      </c>
      <c r="E222" s="6" t="s">
        <v>24</v>
      </c>
      <c r="F222" s="6" t="s">
        <v>234</v>
      </c>
      <c r="G222" s="7" t="s">
        <v>4239</v>
      </c>
      <c r="H222" s="6" t="s">
        <v>2127</v>
      </c>
    </row>
    <row r="223" customFormat="false" ht="21.75" hidden="false" customHeight="true" outlineLevel="0" collapsed="false">
      <c r="B223" s="4" t="s">
        <v>118</v>
      </c>
      <c r="C223" s="4" t="s">
        <v>2129</v>
      </c>
      <c r="D223" s="9" t="n">
        <v>2</v>
      </c>
      <c r="E223" s="4" t="s">
        <v>26</v>
      </c>
      <c r="F223" s="4" t="s">
        <v>335</v>
      </c>
      <c r="G223" s="5" t="s">
        <v>4239</v>
      </c>
      <c r="H223" s="4" t="s">
        <v>2134</v>
      </c>
    </row>
    <row r="224" customFormat="false" ht="21.75" hidden="false" customHeight="true" outlineLevel="0" collapsed="false">
      <c r="B224" s="6" t="s">
        <v>118</v>
      </c>
      <c r="C224" s="6" t="s">
        <v>2136</v>
      </c>
      <c r="D224" s="10" t="n">
        <v>2</v>
      </c>
      <c r="E224" s="6" t="s">
        <v>26</v>
      </c>
      <c r="F224" s="6" t="s">
        <v>389</v>
      </c>
      <c r="G224" s="7" t="s">
        <v>4239</v>
      </c>
      <c r="H224" s="6" t="s">
        <v>2141</v>
      </c>
    </row>
    <row r="225" customFormat="false" ht="21.75" hidden="false" customHeight="true" outlineLevel="0" collapsed="false">
      <c r="B225" s="4" t="s">
        <v>118</v>
      </c>
      <c r="C225" s="4" t="s">
        <v>2144</v>
      </c>
      <c r="D225" s="9" t="n">
        <v>2</v>
      </c>
      <c r="E225" s="4" t="s">
        <v>26</v>
      </c>
      <c r="F225" s="4" t="s">
        <v>389</v>
      </c>
      <c r="G225" s="5" t="s">
        <v>4239</v>
      </c>
      <c r="H225" s="4" t="s">
        <v>2149</v>
      </c>
    </row>
    <row r="226" customFormat="false" ht="21.75" hidden="false" customHeight="true" outlineLevel="0" collapsed="false">
      <c r="B226" s="6" t="s">
        <v>118</v>
      </c>
      <c r="C226" s="6" t="s">
        <v>2152</v>
      </c>
      <c r="D226" s="10" t="n">
        <v>2</v>
      </c>
      <c r="E226" s="6" t="s">
        <v>26</v>
      </c>
      <c r="F226" s="6" t="s">
        <v>291</v>
      </c>
      <c r="G226" s="7" t="s">
        <v>4239</v>
      </c>
      <c r="H226" s="6" t="s">
        <v>2157</v>
      </c>
    </row>
    <row r="227" customFormat="false" ht="21.75" hidden="false" customHeight="true" outlineLevel="0" collapsed="false">
      <c r="B227" s="4" t="s">
        <v>118</v>
      </c>
      <c r="C227" s="4" t="s">
        <v>2160</v>
      </c>
      <c r="D227" s="9" t="n">
        <v>2</v>
      </c>
      <c r="E227" s="4" t="s">
        <v>26</v>
      </c>
      <c r="F227" s="4" t="s">
        <v>244</v>
      </c>
      <c r="G227" s="5" t="s">
        <v>4239</v>
      </c>
      <c r="H227" s="4" t="s">
        <v>2165</v>
      </c>
    </row>
    <row r="228" customFormat="false" ht="21.75" hidden="false" customHeight="true" outlineLevel="0" collapsed="false">
      <c r="B228" s="6" t="s">
        <v>118</v>
      </c>
      <c r="C228" s="6" t="s">
        <v>2168</v>
      </c>
      <c r="D228" s="10" t="n">
        <v>3</v>
      </c>
      <c r="E228" s="6" t="s">
        <v>28</v>
      </c>
      <c r="F228" s="6" t="s">
        <v>234</v>
      </c>
      <c r="G228" s="7" t="s">
        <v>4239</v>
      </c>
      <c r="H228" s="6" t="s">
        <v>2173</v>
      </c>
    </row>
    <row r="229" customFormat="false" ht="21.75" hidden="false" customHeight="true" outlineLevel="0" collapsed="false">
      <c r="B229" s="4" t="s">
        <v>118</v>
      </c>
      <c r="C229" s="4" t="s">
        <v>2176</v>
      </c>
      <c r="D229" s="9" t="n">
        <v>3</v>
      </c>
      <c r="E229" s="4" t="s">
        <v>28</v>
      </c>
      <c r="F229" s="4" t="s">
        <v>234</v>
      </c>
      <c r="G229" s="5" t="s">
        <v>4239</v>
      </c>
      <c r="H229" s="4" t="s">
        <v>2181</v>
      </c>
    </row>
    <row r="230" customFormat="false" ht="21.75" hidden="false" customHeight="true" outlineLevel="0" collapsed="false">
      <c r="B230" s="6" t="s">
        <v>118</v>
      </c>
      <c r="C230" s="6" t="s">
        <v>2184</v>
      </c>
      <c r="D230" s="10" t="n">
        <v>3</v>
      </c>
      <c r="E230" s="6" t="s">
        <v>28</v>
      </c>
      <c r="F230" s="6" t="s">
        <v>291</v>
      </c>
      <c r="G230" s="7" t="s">
        <v>4239</v>
      </c>
      <c r="H230" s="6" t="s">
        <v>2189</v>
      </c>
    </row>
    <row r="231" customFormat="false" ht="21.75" hidden="false" customHeight="true" outlineLevel="0" collapsed="false">
      <c r="B231" s="4" t="s">
        <v>118</v>
      </c>
      <c r="C231" s="4" t="s">
        <v>2192</v>
      </c>
      <c r="D231" s="9" t="n">
        <v>3</v>
      </c>
      <c r="E231" s="4" t="s">
        <v>28</v>
      </c>
      <c r="F231" s="4" t="s">
        <v>389</v>
      </c>
      <c r="G231" s="5" t="s">
        <v>4239</v>
      </c>
      <c r="H231" s="4" t="s">
        <v>2197</v>
      </c>
    </row>
    <row r="232" customFormat="false" ht="21.75" hidden="false" customHeight="true" outlineLevel="0" collapsed="false">
      <c r="B232" s="6" t="s">
        <v>118</v>
      </c>
      <c r="C232" s="6" t="s">
        <v>2200</v>
      </c>
      <c r="D232" s="10" t="n">
        <v>4</v>
      </c>
      <c r="E232" s="6" t="s">
        <v>30</v>
      </c>
      <c r="F232" s="6" t="s">
        <v>234</v>
      </c>
      <c r="G232" s="7" t="s">
        <v>4239</v>
      </c>
      <c r="H232" s="6" t="s">
        <v>2205</v>
      </c>
    </row>
    <row r="233" customFormat="false" ht="21.75" hidden="false" customHeight="true" outlineLevel="0" collapsed="false">
      <c r="B233" s="4" t="s">
        <v>118</v>
      </c>
      <c r="C233" s="4" t="s">
        <v>2208</v>
      </c>
      <c r="D233" s="9" t="n">
        <v>4</v>
      </c>
      <c r="E233" s="4" t="s">
        <v>30</v>
      </c>
      <c r="F233" s="4" t="s">
        <v>244</v>
      </c>
      <c r="G233" s="5" t="s">
        <v>4239</v>
      </c>
      <c r="H233" s="4" t="s">
        <v>2213</v>
      </c>
    </row>
    <row r="234" customFormat="false" ht="21.75" hidden="false" customHeight="true" outlineLevel="0" collapsed="false">
      <c r="B234" s="6" t="s">
        <v>118</v>
      </c>
      <c r="C234" s="6" t="s">
        <v>2215</v>
      </c>
      <c r="D234" s="10" t="n">
        <v>4</v>
      </c>
      <c r="E234" s="6" t="s">
        <v>30</v>
      </c>
      <c r="F234" s="6" t="s">
        <v>234</v>
      </c>
      <c r="G234" s="7" t="s">
        <v>4239</v>
      </c>
      <c r="H234" s="6" t="s">
        <v>2220</v>
      </c>
    </row>
    <row r="235" customFormat="false" ht="21.75" hidden="false" customHeight="true" outlineLevel="0" collapsed="false">
      <c r="B235" s="4" t="s">
        <v>118</v>
      </c>
      <c r="C235" s="4" t="s">
        <v>2223</v>
      </c>
      <c r="D235" s="9" t="n">
        <v>4</v>
      </c>
      <c r="E235" s="4" t="s">
        <v>30</v>
      </c>
      <c r="F235" s="4" t="s">
        <v>260</v>
      </c>
      <c r="G235" s="5" t="s">
        <v>4239</v>
      </c>
      <c r="H235" s="4" t="s">
        <v>2228</v>
      </c>
    </row>
    <row r="236" customFormat="false" ht="21.75" hidden="false" customHeight="true" outlineLevel="0" collapsed="false">
      <c r="B236" s="6" t="s">
        <v>125</v>
      </c>
      <c r="C236" s="6" t="s">
        <v>2230</v>
      </c>
      <c r="D236" s="10" t="n">
        <v>0</v>
      </c>
      <c r="E236" s="6" t="s">
        <v>22</v>
      </c>
      <c r="F236" s="6" t="s">
        <v>244</v>
      </c>
      <c r="G236" s="7" t="s">
        <v>4239</v>
      </c>
      <c r="H236" s="6" t="s">
        <v>2233</v>
      </c>
    </row>
    <row r="237" customFormat="false" ht="21.75" hidden="false" customHeight="true" outlineLevel="0" collapsed="false">
      <c r="B237" s="4" t="s">
        <v>125</v>
      </c>
      <c r="C237" s="4" t="s">
        <v>2236</v>
      </c>
      <c r="D237" s="9" t="n">
        <v>0</v>
      </c>
      <c r="E237" s="4" t="s">
        <v>22</v>
      </c>
      <c r="F237" s="4" t="s">
        <v>335</v>
      </c>
      <c r="G237" s="5" t="s">
        <v>4239</v>
      </c>
      <c r="H237" s="4" t="s">
        <v>2241</v>
      </c>
    </row>
    <row r="238" customFormat="false" ht="21.75" hidden="false" customHeight="true" outlineLevel="0" collapsed="false">
      <c r="B238" s="6" t="s">
        <v>125</v>
      </c>
      <c r="C238" s="6" t="s">
        <v>2244</v>
      </c>
      <c r="D238" s="10" t="n">
        <v>0</v>
      </c>
      <c r="E238" s="6" t="s">
        <v>22</v>
      </c>
      <c r="F238" s="6" t="s">
        <v>335</v>
      </c>
      <c r="G238" s="7" t="s">
        <v>4239</v>
      </c>
      <c r="H238" s="6" t="s">
        <v>2249</v>
      </c>
    </row>
    <row r="239" customFormat="false" ht="21.75" hidden="false" customHeight="true" outlineLevel="0" collapsed="false">
      <c r="B239" s="4" t="s">
        <v>125</v>
      </c>
      <c r="C239" s="4" t="s">
        <v>2252</v>
      </c>
      <c r="D239" s="9" t="n">
        <v>0</v>
      </c>
      <c r="E239" s="4" t="s">
        <v>22</v>
      </c>
      <c r="F239" s="4" t="s">
        <v>335</v>
      </c>
      <c r="G239" s="5" t="s">
        <v>4239</v>
      </c>
      <c r="H239" s="4" t="s">
        <v>2256</v>
      </c>
    </row>
    <row r="240" customFormat="false" ht="21.75" hidden="false" customHeight="true" outlineLevel="0" collapsed="false">
      <c r="B240" s="6" t="s">
        <v>125</v>
      </c>
      <c r="C240" s="6" t="s">
        <v>2259</v>
      </c>
      <c r="D240" s="10" t="n">
        <v>1</v>
      </c>
      <c r="E240" s="6" t="s">
        <v>24</v>
      </c>
      <c r="F240" s="6" t="s">
        <v>260</v>
      </c>
      <c r="G240" s="7" t="s">
        <v>4239</v>
      </c>
      <c r="H240" s="6" t="s">
        <v>2264</v>
      </c>
    </row>
    <row r="241" customFormat="false" ht="21.75" hidden="false" customHeight="true" outlineLevel="0" collapsed="false">
      <c r="B241" s="4" t="s">
        <v>125</v>
      </c>
      <c r="C241" s="4" t="s">
        <v>2267</v>
      </c>
      <c r="D241" s="9" t="n">
        <v>1</v>
      </c>
      <c r="E241" s="4" t="s">
        <v>24</v>
      </c>
      <c r="F241" s="4" t="s">
        <v>244</v>
      </c>
      <c r="G241" s="5" t="s">
        <v>4239</v>
      </c>
      <c r="H241" s="4" t="s">
        <v>2272</v>
      </c>
    </row>
    <row r="242" customFormat="false" ht="21.75" hidden="false" customHeight="true" outlineLevel="0" collapsed="false">
      <c r="B242" s="6" t="s">
        <v>125</v>
      </c>
      <c r="C242" s="6" t="s">
        <v>2275</v>
      </c>
      <c r="D242" s="10" t="n">
        <v>1</v>
      </c>
      <c r="E242" s="6" t="s">
        <v>24</v>
      </c>
      <c r="F242" s="6" t="s">
        <v>234</v>
      </c>
      <c r="G242" s="7" t="s">
        <v>4239</v>
      </c>
      <c r="H242" s="6" t="s">
        <v>2279</v>
      </c>
    </row>
    <row r="243" customFormat="false" ht="21.75" hidden="false" customHeight="true" outlineLevel="0" collapsed="false">
      <c r="B243" s="4" t="s">
        <v>125</v>
      </c>
      <c r="C243" s="4" t="s">
        <v>2282</v>
      </c>
      <c r="D243" s="9" t="n">
        <v>1</v>
      </c>
      <c r="E243" s="4" t="s">
        <v>24</v>
      </c>
      <c r="F243" s="4" t="s">
        <v>260</v>
      </c>
      <c r="G243" s="5" t="s">
        <v>4239</v>
      </c>
      <c r="H243" s="4" t="s">
        <v>2287</v>
      </c>
    </row>
    <row r="244" customFormat="false" ht="21.75" hidden="false" customHeight="true" outlineLevel="0" collapsed="false">
      <c r="B244" s="6" t="s">
        <v>125</v>
      </c>
      <c r="C244" s="6" t="s">
        <v>2290</v>
      </c>
      <c r="D244" s="10" t="n">
        <v>1</v>
      </c>
      <c r="E244" s="6" t="s">
        <v>24</v>
      </c>
      <c r="F244" s="6" t="s">
        <v>244</v>
      </c>
      <c r="G244" s="7" t="s">
        <v>4239</v>
      </c>
      <c r="H244" s="6" t="s">
        <v>2295</v>
      </c>
    </row>
    <row r="245" customFormat="false" ht="21.75" hidden="false" customHeight="true" outlineLevel="0" collapsed="false">
      <c r="B245" s="4" t="s">
        <v>125</v>
      </c>
      <c r="C245" s="4" t="s">
        <v>2298</v>
      </c>
      <c r="D245" s="9" t="n">
        <v>2</v>
      </c>
      <c r="E245" s="4" t="s">
        <v>26</v>
      </c>
      <c r="F245" s="4" t="s">
        <v>389</v>
      </c>
      <c r="G245" s="5" t="s">
        <v>4239</v>
      </c>
      <c r="H245" s="4" t="s">
        <v>2301</v>
      </c>
    </row>
    <row r="246" customFormat="false" ht="21.75" hidden="false" customHeight="true" outlineLevel="0" collapsed="false">
      <c r="B246" s="6" t="s">
        <v>125</v>
      </c>
      <c r="C246" s="6" t="s">
        <v>2304</v>
      </c>
      <c r="D246" s="10" t="n">
        <v>2</v>
      </c>
      <c r="E246" s="6" t="s">
        <v>26</v>
      </c>
      <c r="F246" s="6" t="s">
        <v>389</v>
      </c>
      <c r="G246" s="7" t="s">
        <v>4239</v>
      </c>
      <c r="H246" s="6" t="s">
        <v>2309</v>
      </c>
    </row>
    <row r="247" customFormat="false" ht="21.75" hidden="false" customHeight="true" outlineLevel="0" collapsed="false">
      <c r="B247" s="4" t="s">
        <v>125</v>
      </c>
      <c r="C247" s="4" t="s">
        <v>2312</v>
      </c>
      <c r="D247" s="9" t="n">
        <v>2</v>
      </c>
      <c r="E247" s="4" t="s">
        <v>26</v>
      </c>
      <c r="F247" s="4" t="s">
        <v>260</v>
      </c>
      <c r="G247" s="5" t="s">
        <v>4239</v>
      </c>
      <c r="H247" s="4" t="s">
        <v>2317</v>
      </c>
    </row>
    <row r="248" customFormat="false" ht="21.75" hidden="false" customHeight="true" outlineLevel="0" collapsed="false">
      <c r="B248" s="6" t="s">
        <v>125</v>
      </c>
      <c r="C248" s="6" t="s">
        <v>2320</v>
      </c>
      <c r="D248" s="10" t="n">
        <v>2</v>
      </c>
      <c r="E248" s="6" t="s">
        <v>26</v>
      </c>
      <c r="F248" s="6" t="s">
        <v>469</v>
      </c>
      <c r="G248" s="7" t="s">
        <v>4239</v>
      </c>
      <c r="H248" s="6" t="s">
        <v>2325</v>
      </c>
    </row>
    <row r="249" customFormat="false" ht="21.75" hidden="false" customHeight="true" outlineLevel="0" collapsed="false">
      <c r="B249" s="4" t="s">
        <v>125</v>
      </c>
      <c r="C249" s="4" t="s">
        <v>2328</v>
      </c>
      <c r="D249" s="9" t="n">
        <v>2</v>
      </c>
      <c r="E249" s="4" t="s">
        <v>26</v>
      </c>
      <c r="F249" s="4" t="s">
        <v>469</v>
      </c>
      <c r="G249" s="5" t="s">
        <v>4239</v>
      </c>
      <c r="H249" s="4" t="s">
        <v>2333</v>
      </c>
    </row>
    <row r="250" customFormat="false" ht="21.75" hidden="false" customHeight="true" outlineLevel="0" collapsed="false">
      <c r="B250" s="6" t="s">
        <v>125</v>
      </c>
      <c r="C250" s="6" t="s">
        <v>2336</v>
      </c>
      <c r="D250" s="10" t="n">
        <v>2</v>
      </c>
      <c r="E250" s="6" t="s">
        <v>26</v>
      </c>
      <c r="F250" s="6" t="s">
        <v>469</v>
      </c>
      <c r="G250" s="7" t="s">
        <v>4239</v>
      </c>
      <c r="H250" s="6" t="s">
        <v>2341</v>
      </c>
    </row>
    <row r="251" customFormat="false" ht="21.75" hidden="false" customHeight="true" outlineLevel="0" collapsed="false">
      <c r="B251" s="4" t="s">
        <v>125</v>
      </c>
      <c r="C251" s="4" t="s">
        <v>2344</v>
      </c>
      <c r="D251" s="9" t="n">
        <v>2</v>
      </c>
      <c r="E251" s="4" t="s">
        <v>26</v>
      </c>
      <c r="F251" s="4" t="s">
        <v>335</v>
      </c>
      <c r="G251" s="5" t="s">
        <v>4239</v>
      </c>
      <c r="H251" s="4" t="s">
        <v>2349</v>
      </c>
    </row>
    <row r="252" customFormat="false" ht="21.75" hidden="false" customHeight="true" outlineLevel="0" collapsed="false">
      <c r="B252" s="6" t="s">
        <v>125</v>
      </c>
      <c r="C252" s="6" t="s">
        <v>2352</v>
      </c>
      <c r="D252" s="10" t="n">
        <v>2</v>
      </c>
      <c r="E252" s="6" t="s">
        <v>26</v>
      </c>
      <c r="F252" s="6" t="s">
        <v>389</v>
      </c>
      <c r="G252" s="7" t="s">
        <v>4239</v>
      </c>
      <c r="H252" s="6" t="s">
        <v>2357</v>
      </c>
    </row>
    <row r="253" customFormat="false" ht="21.75" hidden="false" customHeight="true" outlineLevel="0" collapsed="false">
      <c r="B253" s="4" t="s">
        <v>125</v>
      </c>
      <c r="C253" s="4" t="s">
        <v>2360</v>
      </c>
      <c r="D253" s="9" t="n">
        <v>1</v>
      </c>
      <c r="E253" s="4" t="s">
        <v>24</v>
      </c>
      <c r="F253" s="4" t="s">
        <v>260</v>
      </c>
      <c r="G253" s="5" t="s">
        <v>4239</v>
      </c>
      <c r="H253" s="4" t="s">
        <v>2365</v>
      </c>
    </row>
    <row r="254" customFormat="false" ht="21.75" hidden="false" customHeight="true" outlineLevel="0" collapsed="false">
      <c r="B254" s="6" t="s">
        <v>125</v>
      </c>
      <c r="C254" s="6" t="s">
        <v>2368</v>
      </c>
      <c r="D254" s="10" t="n">
        <v>1</v>
      </c>
      <c r="E254" s="6" t="s">
        <v>24</v>
      </c>
      <c r="F254" s="6" t="s">
        <v>244</v>
      </c>
      <c r="G254" s="7" t="s">
        <v>4239</v>
      </c>
      <c r="H254" s="6" t="s">
        <v>2373</v>
      </c>
    </row>
    <row r="255" customFormat="false" ht="21.75" hidden="false" customHeight="true" outlineLevel="0" collapsed="false">
      <c r="B255" s="4" t="s">
        <v>125</v>
      </c>
      <c r="C255" s="4" t="s">
        <v>2376</v>
      </c>
      <c r="D255" s="9" t="n">
        <v>3</v>
      </c>
      <c r="E255" s="4" t="s">
        <v>28</v>
      </c>
      <c r="F255" s="4" t="s">
        <v>234</v>
      </c>
      <c r="G255" s="5" t="s">
        <v>4239</v>
      </c>
      <c r="H255" s="4" t="s">
        <v>2381</v>
      </c>
    </row>
    <row r="256" customFormat="false" ht="21.75" hidden="false" customHeight="true" outlineLevel="0" collapsed="false">
      <c r="B256" s="6" t="s">
        <v>125</v>
      </c>
      <c r="C256" s="6" t="s">
        <v>2384</v>
      </c>
      <c r="D256" s="10" t="n">
        <v>3</v>
      </c>
      <c r="E256" s="6" t="s">
        <v>28</v>
      </c>
      <c r="F256" s="6" t="s">
        <v>234</v>
      </c>
      <c r="G256" s="7" t="s">
        <v>4239</v>
      </c>
      <c r="H256" s="6" t="s">
        <v>2389</v>
      </c>
    </row>
    <row r="257" customFormat="false" ht="21.75" hidden="false" customHeight="true" outlineLevel="0" collapsed="false">
      <c r="B257" s="4" t="s">
        <v>125</v>
      </c>
      <c r="C257" s="4" t="s">
        <v>2391</v>
      </c>
      <c r="D257" s="9" t="n">
        <v>3</v>
      </c>
      <c r="E257" s="4" t="s">
        <v>28</v>
      </c>
      <c r="F257" s="4" t="s">
        <v>389</v>
      </c>
      <c r="G257" s="5" t="s">
        <v>4239</v>
      </c>
      <c r="H257" s="4" t="s">
        <v>2396</v>
      </c>
    </row>
    <row r="258" customFormat="false" ht="21.75" hidden="false" customHeight="true" outlineLevel="0" collapsed="false">
      <c r="B258" s="6" t="s">
        <v>125</v>
      </c>
      <c r="C258" s="6" t="s">
        <v>2399</v>
      </c>
      <c r="D258" s="10" t="n">
        <v>4</v>
      </c>
      <c r="E258" s="6" t="s">
        <v>30</v>
      </c>
      <c r="F258" s="6" t="s">
        <v>335</v>
      </c>
      <c r="G258" s="7" t="s">
        <v>4239</v>
      </c>
      <c r="H258" s="6" t="s">
        <v>2404</v>
      </c>
    </row>
    <row r="259" customFormat="false" ht="21.75" hidden="false" customHeight="true" outlineLevel="0" collapsed="false">
      <c r="B259" s="4" t="s">
        <v>125</v>
      </c>
      <c r="C259" s="4" t="s">
        <v>2406</v>
      </c>
      <c r="D259" s="9" t="n">
        <v>4</v>
      </c>
      <c r="E259" s="4" t="s">
        <v>30</v>
      </c>
      <c r="F259" s="4" t="s">
        <v>335</v>
      </c>
      <c r="G259" s="5" t="s">
        <v>4239</v>
      </c>
      <c r="H259" s="4" t="s">
        <v>2411</v>
      </c>
    </row>
    <row r="260" customFormat="false" ht="21.75" hidden="false" customHeight="true" outlineLevel="0" collapsed="false">
      <c r="B260" s="6" t="s">
        <v>125</v>
      </c>
      <c r="C260" s="6" t="s">
        <v>2414</v>
      </c>
      <c r="D260" s="10" t="n">
        <v>4</v>
      </c>
      <c r="E260" s="6" t="s">
        <v>30</v>
      </c>
      <c r="F260" s="6" t="s">
        <v>335</v>
      </c>
      <c r="G260" s="7" t="s">
        <v>4239</v>
      </c>
      <c r="H260" s="6" t="s">
        <v>2419</v>
      </c>
    </row>
    <row r="261" customFormat="false" ht="21.75" hidden="false" customHeight="true" outlineLevel="0" collapsed="false">
      <c r="B261" s="4" t="s">
        <v>131</v>
      </c>
      <c r="C261" s="4" t="s">
        <v>2421</v>
      </c>
      <c r="D261" s="9" t="n">
        <v>0</v>
      </c>
      <c r="E261" s="4" t="s">
        <v>22</v>
      </c>
      <c r="F261" s="4" t="s">
        <v>244</v>
      </c>
      <c r="G261" s="5" t="s">
        <v>4239</v>
      </c>
      <c r="H261" s="4" t="s">
        <v>2424</v>
      </c>
    </row>
    <row r="262" customFormat="false" ht="21.75" hidden="false" customHeight="true" outlineLevel="0" collapsed="false">
      <c r="B262" s="6" t="s">
        <v>131</v>
      </c>
      <c r="C262" s="6" t="s">
        <v>2426</v>
      </c>
      <c r="D262" s="10" t="n">
        <v>0</v>
      </c>
      <c r="E262" s="6" t="s">
        <v>22</v>
      </c>
      <c r="F262" s="6" t="s">
        <v>335</v>
      </c>
      <c r="G262" s="7" t="s">
        <v>4239</v>
      </c>
      <c r="H262" s="6" t="s">
        <v>2431</v>
      </c>
    </row>
    <row r="263" customFormat="false" ht="21.75" hidden="false" customHeight="true" outlineLevel="0" collapsed="false">
      <c r="B263" s="4" t="s">
        <v>131</v>
      </c>
      <c r="C263" s="4" t="s">
        <v>2434</v>
      </c>
      <c r="D263" s="9" t="n">
        <v>0</v>
      </c>
      <c r="E263" s="4" t="s">
        <v>22</v>
      </c>
      <c r="F263" s="4" t="s">
        <v>335</v>
      </c>
      <c r="G263" s="5" t="s">
        <v>4239</v>
      </c>
      <c r="H263" s="4" t="s">
        <v>2439</v>
      </c>
    </row>
    <row r="264" customFormat="false" ht="21.75" hidden="false" customHeight="true" outlineLevel="0" collapsed="false">
      <c r="B264" s="6" t="s">
        <v>131</v>
      </c>
      <c r="C264" s="6" t="s">
        <v>2442</v>
      </c>
      <c r="D264" s="10" t="n">
        <v>0</v>
      </c>
      <c r="E264" s="6" t="s">
        <v>22</v>
      </c>
      <c r="F264" s="6" t="s">
        <v>244</v>
      </c>
      <c r="G264" s="7" t="s">
        <v>4239</v>
      </c>
      <c r="H264" s="6" t="s">
        <v>2446</v>
      </c>
    </row>
    <row r="265" customFormat="false" ht="21.75" hidden="false" customHeight="true" outlineLevel="0" collapsed="false">
      <c r="B265" s="4" t="s">
        <v>131</v>
      </c>
      <c r="C265" s="4" t="s">
        <v>2449</v>
      </c>
      <c r="D265" s="9" t="n">
        <v>1</v>
      </c>
      <c r="E265" s="4" t="s">
        <v>24</v>
      </c>
      <c r="F265" s="4" t="s">
        <v>244</v>
      </c>
      <c r="G265" s="5" t="s">
        <v>4239</v>
      </c>
      <c r="H265" s="4" t="s">
        <v>2454</v>
      </c>
    </row>
    <row r="266" customFormat="false" ht="21.75" hidden="false" customHeight="true" outlineLevel="0" collapsed="false">
      <c r="B266" s="6" t="s">
        <v>131</v>
      </c>
      <c r="C266" s="6" t="s">
        <v>2457</v>
      </c>
      <c r="D266" s="10" t="n">
        <v>1</v>
      </c>
      <c r="E266" s="6" t="s">
        <v>24</v>
      </c>
      <c r="F266" s="6" t="s">
        <v>244</v>
      </c>
      <c r="G266" s="7" t="s">
        <v>4239</v>
      </c>
      <c r="H266" s="6" t="s">
        <v>2462</v>
      </c>
    </row>
    <row r="267" customFormat="false" ht="21.75" hidden="false" customHeight="true" outlineLevel="0" collapsed="false">
      <c r="B267" s="4" t="s">
        <v>131</v>
      </c>
      <c r="C267" s="4" t="s">
        <v>2465</v>
      </c>
      <c r="D267" s="9" t="n">
        <v>1</v>
      </c>
      <c r="E267" s="4" t="s">
        <v>24</v>
      </c>
      <c r="F267" s="4" t="s">
        <v>389</v>
      </c>
      <c r="G267" s="5" t="s">
        <v>4239</v>
      </c>
      <c r="H267" s="4" t="s">
        <v>2470</v>
      </c>
    </row>
    <row r="268" customFormat="false" ht="21.75" hidden="false" customHeight="true" outlineLevel="0" collapsed="false">
      <c r="B268" s="6" t="s">
        <v>131</v>
      </c>
      <c r="C268" s="6" t="s">
        <v>2473</v>
      </c>
      <c r="D268" s="10" t="n">
        <v>1</v>
      </c>
      <c r="E268" s="6" t="s">
        <v>24</v>
      </c>
      <c r="F268" s="6" t="s">
        <v>244</v>
      </c>
      <c r="G268" s="7" t="s">
        <v>4239</v>
      </c>
      <c r="H268" s="6" t="s">
        <v>2477</v>
      </c>
    </row>
    <row r="269" customFormat="false" ht="21.75" hidden="false" customHeight="true" outlineLevel="0" collapsed="false">
      <c r="B269" s="4" t="s">
        <v>131</v>
      </c>
      <c r="C269" s="4" t="s">
        <v>2480</v>
      </c>
      <c r="D269" s="9" t="n">
        <v>2</v>
      </c>
      <c r="E269" s="4" t="s">
        <v>26</v>
      </c>
      <c r="F269" s="4" t="s">
        <v>389</v>
      </c>
      <c r="G269" s="5" t="s">
        <v>4239</v>
      </c>
      <c r="H269" s="4" t="s">
        <v>2485</v>
      </c>
    </row>
    <row r="270" customFormat="false" ht="21.75" hidden="false" customHeight="true" outlineLevel="0" collapsed="false">
      <c r="B270" s="6" t="s">
        <v>131</v>
      </c>
      <c r="C270" s="6" t="s">
        <v>2488</v>
      </c>
      <c r="D270" s="10" t="n">
        <v>2</v>
      </c>
      <c r="E270" s="6" t="s">
        <v>26</v>
      </c>
      <c r="F270" s="6" t="s">
        <v>244</v>
      </c>
      <c r="G270" s="7" t="s">
        <v>4239</v>
      </c>
      <c r="H270" s="6" t="s">
        <v>2493</v>
      </c>
    </row>
    <row r="271" customFormat="false" ht="21.75" hidden="false" customHeight="true" outlineLevel="0" collapsed="false">
      <c r="B271" s="4" t="s">
        <v>131</v>
      </c>
      <c r="C271" s="4" t="s">
        <v>2495</v>
      </c>
      <c r="D271" s="9" t="n">
        <v>2</v>
      </c>
      <c r="E271" s="4" t="s">
        <v>26</v>
      </c>
      <c r="F271" s="4" t="s">
        <v>260</v>
      </c>
      <c r="G271" s="5" t="s">
        <v>4239</v>
      </c>
      <c r="H271" s="4" t="s">
        <v>2500</v>
      </c>
    </row>
    <row r="272" customFormat="false" ht="21.75" hidden="false" customHeight="true" outlineLevel="0" collapsed="false">
      <c r="B272" s="6" t="s">
        <v>131</v>
      </c>
      <c r="C272" s="6" t="s">
        <v>2502</v>
      </c>
      <c r="D272" s="10" t="n">
        <v>3</v>
      </c>
      <c r="E272" s="6" t="s">
        <v>28</v>
      </c>
      <c r="F272" s="6" t="s">
        <v>244</v>
      </c>
      <c r="G272" s="7" t="s">
        <v>4239</v>
      </c>
      <c r="H272" s="6" t="s">
        <v>2507</v>
      </c>
    </row>
    <row r="273" customFormat="false" ht="21.75" hidden="false" customHeight="true" outlineLevel="0" collapsed="false">
      <c r="B273" s="4" t="s">
        <v>131</v>
      </c>
      <c r="C273" s="4" t="s">
        <v>2510</v>
      </c>
      <c r="D273" s="9" t="n">
        <v>3</v>
      </c>
      <c r="E273" s="4" t="s">
        <v>28</v>
      </c>
      <c r="F273" s="4" t="s">
        <v>389</v>
      </c>
      <c r="G273" s="5" t="s">
        <v>4239</v>
      </c>
      <c r="H273" s="4" t="s">
        <v>2515</v>
      </c>
    </row>
    <row r="274" customFormat="false" ht="21.75" hidden="false" customHeight="true" outlineLevel="0" collapsed="false">
      <c r="B274" s="6" t="s">
        <v>131</v>
      </c>
      <c r="C274" s="6" t="s">
        <v>2518</v>
      </c>
      <c r="D274" s="10" t="n">
        <v>3</v>
      </c>
      <c r="E274" s="6" t="s">
        <v>28</v>
      </c>
      <c r="F274" s="6" t="s">
        <v>260</v>
      </c>
      <c r="G274" s="7" t="s">
        <v>4239</v>
      </c>
      <c r="H274" s="6" t="s">
        <v>2523</v>
      </c>
    </row>
    <row r="275" customFormat="false" ht="21.75" hidden="false" customHeight="true" outlineLevel="0" collapsed="false">
      <c r="B275" s="4" t="s">
        <v>131</v>
      </c>
      <c r="C275" s="4" t="s">
        <v>2526</v>
      </c>
      <c r="D275" s="9" t="n">
        <v>4</v>
      </c>
      <c r="E275" s="4" t="s">
        <v>30</v>
      </c>
      <c r="F275" s="4" t="s">
        <v>260</v>
      </c>
      <c r="G275" s="5" t="s">
        <v>4239</v>
      </c>
      <c r="H275" s="4" t="s">
        <v>2531</v>
      </c>
    </row>
    <row r="276" customFormat="false" ht="21.75" hidden="false" customHeight="true" outlineLevel="0" collapsed="false">
      <c r="B276" s="6" t="s">
        <v>131</v>
      </c>
      <c r="C276" s="6" t="s">
        <v>2533</v>
      </c>
      <c r="D276" s="10" t="n">
        <v>4</v>
      </c>
      <c r="E276" s="6" t="s">
        <v>30</v>
      </c>
      <c r="F276" s="6" t="s">
        <v>244</v>
      </c>
      <c r="G276" s="7" t="s">
        <v>4239</v>
      </c>
      <c r="H276" s="6" t="s">
        <v>2538</v>
      </c>
    </row>
    <row r="277" customFormat="false" ht="21.75" hidden="false" customHeight="true" outlineLevel="0" collapsed="false">
      <c r="B277" s="4" t="s">
        <v>137</v>
      </c>
      <c r="C277" s="4" t="s">
        <v>2546</v>
      </c>
      <c r="D277" s="9" t="n">
        <v>0</v>
      </c>
      <c r="E277" s="4" t="s">
        <v>22</v>
      </c>
      <c r="F277" s="4" t="s">
        <v>234</v>
      </c>
      <c r="G277" s="5" t="s">
        <v>4239</v>
      </c>
      <c r="H277" s="4" t="s">
        <v>2551</v>
      </c>
    </row>
    <row r="278" customFormat="false" ht="21.75" hidden="false" customHeight="true" outlineLevel="0" collapsed="false">
      <c r="B278" s="6" t="s">
        <v>137</v>
      </c>
      <c r="C278" s="6" t="s">
        <v>2553</v>
      </c>
      <c r="D278" s="10" t="n">
        <v>1</v>
      </c>
      <c r="E278" s="6" t="s">
        <v>24</v>
      </c>
      <c r="F278" s="6" t="s">
        <v>260</v>
      </c>
      <c r="G278" s="7" t="s">
        <v>4239</v>
      </c>
      <c r="H278" s="6" t="s">
        <v>2558</v>
      </c>
    </row>
    <row r="279" customFormat="false" ht="21.75" hidden="false" customHeight="true" outlineLevel="0" collapsed="false">
      <c r="B279" s="4" t="s">
        <v>137</v>
      </c>
      <c r="C279" s="4" t="s">
        <v>2560</v>
      </c>
      <c r="D279" s="9" t="n">
        <v>1</v>
      </c>
      <c r="E279" s="4" t="s">
        <v>24</v>
      </c>
      <c r="F279" s="4" t="s">
        <v>234</v>
      </c>
      <c r="G279" s="5" t="s">
        <v>4239</v>
      </c>
      <c r="H279" s="4" t="s">
        <v>2565</v>
      </c>
    </row>
    <row r="280" customFormat="false" ht="21.75" hidden="false" customHeight="true" outlineLevel="0" collapsed="false">
      <c r="B280" s="6" t="s">
        <v>137</v>
      </c>
      <c r="C280" s="6" t="s">
        <v>2574</v>
      </c>
      <c r="D280" s="10" t="n">
        <v>2</v>
      </c>
      <c r="E280" s="6" t="s">
        <v>26</v>
      </c>
      <c r="F280" s="6" t="s">
        <v>389</v>
      </c>
      <c r="G280" s="7" t="s">
        <v>4239</v>
      </c>
      <c r="H280" s="6" t="s">
        <v>2579</v>
      </c>
    </row>
    <row r="281" customFormat="false" ht="21.75" hidden="false" customHeight="true" outlineLevel="0" collapsed="false">
      <c r="B281" s="4" t="s">
        <v>137</v>
      </c>
      <c r="C281" s="4" t="s">
        <v>2582</v>
      </c>
      <c r="D281" s="9" t="n">
        <v>2</v>
      </c>
      <c r="E281" s="4" t="s">
        <v>26</v>
      </c>
      <c r="F281" s="4" t="s">
        <v>244</v>
      </c>
      <c r="G281" s="5" t="s">
        <v>4239</v>
      </c>
      <c r="H281" s="4" t="s">
        <v>2587</v>
      </c>
    </row>
    <row r="282" customFormat="false" ht="21.75" hidden="false" customHeight="true" outlineLevel="0" collapsed="false">
      <c r="B282" s="6" t="s">
        <v>137</v>
      </c>
      <c r="C282" s="6" t="s">
        <v>2589</v>
      </c>
      <c r="D282" s="10" t="n">
        <v>2</v>
      </c>
      <c r="E282" s="6" t="s">
        <v>26</v>
      </c>
      <c r="F282" s="6" t="s">
        <v>260</v>
      </c>
      <c r="G282" s="7" t="s">
        <v>4239</v>
      </c>
      <c r="H282" s="6" t="s">
        <v>2594</v>
      </c>
    </row>
    <row r="283" customFormat="false" ht="21.75" hidden="false" customHeight="true" outlineLevel="0" collapsed="false">
      <c r="B283" s="4" t="s">
        <v>137</v>
      </c>
      <c r="C283" s="4" t="s">
        <v>2596</v>
      </c>
      <c r="D283" s="9" t="n">
        <v>2</v>
      </c>
      <c r="E283" s="4" t="s">
        <v>26</v>
      </c>
      <c r="F283" s="4" t="s">
        <v>389</v>
      </c>
      <c r="G283" s="5" t="s">
        <v>4239</v>
      </c>
      <c r="H283" s="4" t="s">
        <v>2601</v>
      </c>
    </row>
    <row r="284" customFormat="false" ht="21.75" hidden="false" customHeight="true" outlineLevel="0" collapsed="false">
      <c r="B284" s="6" t="s">
        <v>137</v>
      </c>
      <c r="C284" s="6" t="s">
        <v>2617</v>
      </c>
      <c r="D284" s="10" t="n">
        <v>4</v>
      </c>
      <c r="E284" s="6" t="s">
        <v>30</v>
      </c>
      <c r="F284" s="6" t="s">
        <v>244</v>
      </c>
      <c r="G284" s="7" t="s">
        <v>4239</v>
      </c>
      <c r="H284" s="6" t="s">
        <v>2622</v>
      </c>
    </row>
    <row r="285" customFormat="false" ht="21.75" hidden="false" customHeight="true" outlineLevel="0" collapsed="false">
      <c r="B285" s="4" t="s">
        <v>137</v>
      </c>
      <c r="C285" s="4" t="s">
        <v>2624</v>
      </c>
      <c r="D285" s="9" t="n">
        <v>4</v>
      </c>
      <c r="E285" s="4" t="s">
        <v>30</v>
      </c>
      <c r="F285" s="4" t="s">
        <v>335</v>
      </c>
      <c r="G285" s="5" t="s">
        <v>4239</v>
      </c>
      <c r="H285" s="4" t="s">
        <v>2629</v>
      </c>
    </row>
    <row r="286" customFormat="false" ht="21.75" hidden="false" customHeight="true" outlineLevel="0" collapsed="false">
      <c r="B286" s="6" t="s">
        <v>143</v>
      </c>
      <c r="C286" s="6" t="s">
        <v>2637</v>
      </c>
      <c r="D286" s="10" t="n">
        <v>0</v>
      </c>
      <c r="E286" s="6" t="s">
        <v>22</v>
      </c>
      <c r="F286" s="6" t="s">
        <v>244</v>
      </c>
      <c r="G286" s="7" t="s">
        <v>4239</v>
      </c>
      <c r="H286" s="6" t="s">
        <v>2642</v>
      </c>
    </row>
    <row r="287" customFormat="false" ht="21.75" hidden="false" customHeight="true" outlineLevel="0" collapsed="false">
      <c r="B287" s="4" t="s">
        <v>143</v>
      </c>
      <c r="C287" s="4" t="s">
        <v>2645</v>
      </c>
      <c r="D287" s="9" t="n">
        <v>0</v>
      </c>
      <c r="E287" s="4" t="s">
        <v>22</v>
      </c>
      <c r="F287" s="4" t="s">
        <v>260</v>
      </c>
      <c r="G287" s="5" t="s">
        <v>4239</v>
      </c>
      <c r="H287" s="4" t="s">
        <v>2650</v>
      </c>
    </row>
    <row r="288" customFormat="false" ht="21.75" hidden="false" customHeight="true" outlineLevel="0" collapsed="false">
      <c r="B288" s="6" t="s">
        <v>143</v>
      </c>
      <c r="C288" s="6" t="s">
        <v>2653</v>
      </c>
      <c r="D288" s="10" t="n">
        <v>1</v>
      </c>
      <c r="E288" s="6" t="s">
        <v>24</v>
      </c>
      <c r="F288" s="6" t="s">
        <v>260</v>
      </c>
      <c r="G288" s="7" t="s">
        <v>4239</v>
      </c>
      <c r="H288" s="6" t="s">
        <v>2658</v>
      </c>
    </row>
    <row r="289" customFormat="false" ht="21.75" hidden="false" customHeight="true" outlineLevel="0" collapsed="false">
      <c r="B289" s="4" t="s">
        <v>143</v>
      </c>
      <c r="C289" s="4" t="s">
        <v>2661</v>
      </c>
      <c r="D289" s="9" t="n">
        <v>1</v>
      </c>
      <c r="E289" s="4" t="s">
        <v>24</v>
      </c>
      <c r="F289" s="4" t="s">
        <v>244</v>
      </c>
      <c r="G289" s="5" t="s">
        <v>4239</v>
      </c>
      <c r="H289" s="4" t="s">
        <v>2666</v>
      </c>
    </row>
    <row r="290" customFormat="false" ht="21.75" hidden="false" customHeight="true" outlineLevel="0" collapsed="false">
      <c r="B290" s="6" t="s">
        <v>143</v>
      </c>
      <c r="C290" s="6" t="s">
        <v>2669</v>
      </c>
      <c r="D290" s="10" t="n">
        <v>1</v>
      </c>
      <c r="E290" s="6" t="s">
        <v>24</v>
      </c>
      <c r="F290" s="6" t="s">
        <v>389</v>
      </c>
      <c r="G290" s="7" t="s">
        <v>4239</v>
      </c>
      <c r="H290" s="6" t="s">
        <v>2674</v>
      </c>
    </row>
    <row r="291" customFormat="false" ht="21.75" hidden="false" customHeight="true" outlineLevel="0" collapsed="false">
      <c r="B291" s="4" t="s">
        <v>143</v>
      </c>
      <c r="C291" s="4" t="s">
        <v>2677</v>
      </c>
      <c r="D291" s="9" t="n">
        <v>1</v>
      </c>
      <c r="E291" s="4" t="s">
        <v>24</v>
      </c>
      <c r="F291" s="4" t="s">
        <v>389</v>
      </c>
      <c r="G291" s="5" t="s">
        <v>4239</v>
      </c>
      <c r="H291" s="4" t="s">
        <v>2682</v>
      </c>
    </row>
    <row r="292" customFormat="false" ht="21.75" hidden="false" customHeight="true" outlineLevel="0" collapsed="false">
      <c r="B292" s="6" t="s">
        <v>143</v>
      </c>
      <c r="C292" s="6" t="s">
        <v>2685</v>
      </c>
      <c r="D292" s="10" t="n">
        <v>2</v>
      </c>
      <c r="E292" s="6" t="s">
        <v>26</v>
      </c>
      <c r="F292" s="6" t="s">
        <v>260</v>
      </c>
      <c r="G292" s="7" t="s">
        <v>4239</v>
      </c>
      <c r="H292" s="6" t="s">
        <v>2690</v>
      </c>
    </row>
    <row r="293" customFormat="false" ht="21.75" hidden="false" customHeight="true" outlineLevel="0" collapsed="false">
      <c r="B293" s="4" t="s">
        <v>143</v>
      </c>
      <c r="C293" s="4" t="s">
        <v>2693</v>
      </c>
      <c r="D293" s="9" t="n">
        <v>2</v>
      </c>
      <c r="E293" s="4" t="s">
        <v>26</v>
      </c>
      <c r="F293" s="4" t="s">
        <v>389</v>
      </c>
      <c r="G293" s="5" t="s">
        <v>4239</v>
      </c>
      <c r="H293" s="4" t="s">
        <v>2698</v>
      </c>
    </row>
    <row r="294" customFormat="false" ht="21.75" hidden="false" customHeight="true" outlineLevel="0" collapsed="false">
      <c r="B294" s="6" t="s">
        <v>143</v>
      </c>
      <c r="C294" s="6" t="s">
        <v>2701</v>
      </c>
      <c r="D294" s="10" t="n">
        <v>2</v>
      </c>
      <c r="E294" s="6" t="s">
        <v>26</v>
      </c>
      <c r="F294" s="6" t="s">
        <v>389</v>
      </c>
      <c r="G294" s="7" t="s">
        <v>4239</v>
      </c>
      <c r="H294" s="6" t="s">
        <v>2706</v>
      </c>
    </row>
    <row r="295" customFormat="false" ht="21.75" hidden="false" customHeight="true" outlineLevel="0" collapsed="false">
      <c r="B295" s="4" t="s">
        <v>143</v>
      </c>
      <c r="C295" s="4" t="s">
        <v>2709</v>
      </c>
      <c r="D295" s="9" t="n">
        <v>2</v>
      </c>
      <c r="E295" s="4" t="s">
        <v>26</v>
      </c>
      <c r="F295" s="4" t="s">
        <v>389</v>
      </c>
      <c r="G295" s="5" t="s">
        <v>4239</v>
      </c>
      <c r="H295" s="4" t="s">
        <v>2714</v>
      </c>
    </row>
    <row r="296" customFormat="false" ht="21.75" hidden="false" customHeight="true" outlineLevel="0" collapsed="false">
      <c r="B296" s="6" t="s">
        <v>143</v>
      </c>
      <c r="C296" s="6" t="s">
        <v>2717</v>
      </c>
      <c r="D296" s="10" t="n">
        <v>3</v>
      </c>
      <c r="E296" s="6" t="s">
        <v>28</v>
      </c>
      <c r="F296" s="6" t="s">
        <v>335</v>
      </c>
      <c r="G296" s="7" t="s">
        <v>4239</v>
      </c>
      <c r="H296" s="6" t="s">
        <v>2722</v>
      </c>
    </row>
    <row r="297" customFormat="false" ht="21.75" hidden="false" customHeight="true" outlineLevel="0" collapsed="false">
      <c r="B297" s="4" t="s">
        <v>143</v>
      </c>
      <c r="C297" s="4" t="s">
        <v>2732</v>
      </c>
      <c r="D297" s="9" t="n">
        <v>4</v>
      </c>
      <c r="E297" s="4" t="s">
        <v>30</v>
      </c>
      <c r="F297" s="4" t="s">
        <v>234</v>
      </c>
      <c r="G297" s="5" t="s">
        <v>4239</v>
      </c>
      <c r="H297" s="4" t="s">
        <v>2737</v>
      </c>
    </row>
    <row r="298" customFormat="false" ht="21.75" hidden="false" customHeight="true" outlineLevel="0" collapsed="false">
      <c r="B298" s="6" t="s">
        <v>143</v>
      </c>
      <c r="C298" s="6" t="s">
        <v>2740</v>
      </c>
      <c r="D298" s="10" t="n">
        <v>4</v>
      </c>
      <c r="E298" s="6" t="s">
        <v>30</v>
      </c>
      <c r="F298" s="6" t="s">
        <v>335</v>
      </c>
      <c r="G298" s="7" t="s">
        <v>4239</v>
      </c>
      <c r="H298" s="6" t="s">
        <v>2745</v>
      </c>
    </row>
    <row r="299" customFormat="false" ht="21.75" hidden="false" customHeight="true" outlineLevel="0" collapsed="false">
      <c r="B299" s="4" t="s">
        <v>150</v>
      </c>
      <c r="C299" s="4" t="s">
        <v>2748</v>
      </c>
      <c r="D299" s="9" t="n">
        <v>0</v>
      </c>
      <c r="E299" s="4" t="s">
        <v>22</v>
      </c>
      <c r="F299" s="4" t="s">
        <v>244</v>
      </c>
      <c r="G299" s="5" t="s">
        <v>4239</v>
      </c>
      <c r="H299" s="4" t="s">
        <v>2753</v>
      </c>
    </row>
    <row r="300" customFormat="false" ht="21.75" hidden="false" customHeight="true" outlineLevel="0" collapsed="false">
      <c r="B300" s="6" t="s">
        <v>150</v>
      </c>
      <c r="C300" s="6" t="s">
        <v>2756</v>
      </c>
      <c r="D300" s="10" t="n">
        <v>0</v>
      </c>
      <c r="E300" s="6" t="s">
        <v>22</v>
      </c>
      <c r="F300" s="6" t="s">
        <v>244</v>
      </c>
      <c r="G300" s="7" t="s">
        <v>4239</v>
      </c>
      <c r="H300" s="6" t="s">
        <v>2761</v>
      </c>
    </row>
    <row r="301" customFormat="false" ht="21.75" hidden="false" customHeight="true" outlineLevel="0" collapsed="false">
      <c r="B301" s="4" t="s">
        <v>150</v>
      </c>
      <c r="C301" s="4" t="s">
        <v>2764</v>
      </c>
      <c r="D301" s="9" t="n">
        <v>0</v>
      </c>
      <c r="E301" s="4" t="s">
        <v>22</v>
      </c>
      <c r="F301" s="4" t="s">
        <v>260</v>
      </c>
      <c r="G301" s="5" t="s">
        <v>4239</v>
      </c>
      <c r="H301" s="4" t="s">
        <v>2769</v>
      </c>
    </row>
    <row r="302" customFormat="false" ht="21.75" hidden="false" customHeight="true" outlineLevel="0" collapsed="false">
      <c r="B302" s="6" t="s">
        <v>150</v>
      </c>
      <c r="C302" s="6" t="s">
        <v>2772</v>
      </c>
      <c r="D302" s="10" t="n">
        <v>1</v>
      </c>
      <c r="E302" s="6" t="s">
        <v>24</v>
      </c>
      <c r="F302" s="6" t="s">
        <v>260</v>
      </c>
      <c r="G302" s="7" t="s">
        <v>4239</v>
      </c>
      <c r="H302" s="6" t="s">
        <v>2777</v>
      </c>
    </row>
    <row r="303" customFormat="false" ht="21.75" hidden="false" customHeight="true" outlineLevel="0" collapsed="false">
      <c r="B303" s="4" t="s">
        <v>150</v>
      </c>
      <c r="C303" s="4" t="s">
        <v>2780</v>
      </c>
      <c r="D303" s="9" t="n">
        <v>1</v>
      </c>
      <c r="E303" s="4" t="s">
        <v>24</v>
      </c>
      <c r="F303" s="4" t="s">
        <v>234</v>
      </c>
      <c r="G303" s="5" t="s">
        <v>4239</v>
      </c>
      <c r="H303" s="4" t="s">
        <v>2785</v>
      </c>
    </row>
    <row r="304" customFormat="false" ht="21.75" hidden="false" customHeight="true" outlineLevel="0" collapsed="false">
      <c r="B304" s="6" t="s">
        <v>150</v>
      </c>
      <c r="C304" s="6" t="s">
        <v>2788</v>
      </c>
      <c r="D304" s="10" t="n">
        <v>1</v>
      </c>
      <c r="E304" s="6" t="s">
        <v>24</v>
      </c>
      <c r="F304" s="6" t="s">
        <v>244</v>
      </c>
      <c r="G304" s="7" t="s">
        <v>4239</v>
      </c>
      <c r="H304" s="6" t="s">
        <v>2793</v>
      </c>
    </row>
    <row r="305" customFormat="false" ht="21.75" hidden="false" customHeight="true" outlineLevel="0" collapsed="false">
      <c r="B305" s="4" t="s">
        <v>150</v>
      </c>
      <c r="C305" s="4" t="s">
        <v>2796</v>
      </c>
      <c r="D305" s="9" t="n">
        <v>1</v>
      </c>
      <c r="E305" s="4" t="s">
        <v>24</v>
      </c>
      <c r="F305" s="4" t="s">
        <v>389</v>
      </c>
      <c r="G305" s="5" t="s">
        <v>4239</v>
      </c>
      <c r="H305" s="4" t="s">
        <v>2801</v>
      </c>
    </row>
    <row r="306" customFormat="false" ht="21.75" hidden="false" customHeight="true" outlineLevel="0" collapsed="false">
      <c r="B306" s="6" t="s">
        <v>150</v>
      </c>
      <c r="C306" s="6" t="s">
        <v>2804</v>
      </c>
      <c r="D306" s="10" t="n">
        <v>1</v>
      </c>
      <c r="E306" s="6" t="s">
        <v>24</v>
      </c>
      <c r="F306" s="6" t="s">
        <v>260</v>
      </c>
      <c r="G306" s="7" t="s">
        <v>4239</v>
      </c>
      <c r="H306" s="6" t="s">
        <v>2809</v>
      </c>
    </row>
    <row r="307" customFormat="false" ht="21.75" hidden="false" customHeight="true" outlineLevel="0" collapsed="false">
      <c r="B307" s="4" t="s">
        <v>150</v>
      </c>
      <c r="C307" s="4" t="s">
        <v>2812</v>
      </c>
      <c r="D307" s="9" t="n">
        <v>2</v>
      </c>
      <c r="E307" s="4" t="s">
        <v>26</v>
      </c>
      <c r="F307" s="4" t="s">
        <v>469</v>
      </c>
      <c r="G307" s="5" t="s">
        <v>4239</v>
      </c>
      <c r="H307" s="4" t="s">
        <v>2817</v>
      </c>
    </row>
    <row r="308" customFormat="false" ht="21.75" hidden="false" customHeight="true" outlineLevel="0" collapsed="false">
      <c r="B308" s="6" t="s">
        <v>150</v>
      </c>
      <c r="C308" s="6" t="s">
        <v>2820</v>
      </c>
      <c r="D308" s="10" t="n">
        <v>2</v>
      </c>
      <c r="E308" s="6" t="s">
        <v>26</v>
      </c>
      <c r="F308" s="6" t="s">
        <v>389</v>
      </c>
      <c r="G308" s="7" t="s">
        <v>4239</v>
      </c>
      <c r="H308" s="6" t="s">
        <v>2825</v>
      </c>
    </row>
    <row r="309" customFormat="false" ht="21.75" hidden="false" customHeight="true" outlineLevel="0" collapsed="false">
      <c r="B309" s="4" t="s">
        <v>150</v>
      </c>
      <c r="C309" s="4" t="s">
        <v>2828</v>
      </c>
      <c r="D309" s="9" t="n">
        <v>2</v>
      </c>
      <c r="E309" s="4" t="s">
        <v>26</v>
      </c>
      <c r="F309" s="4" t="s">
        <v>389</v>
      </c>
      <c r="G309" s="5" t="s">
        <v>4239</v>
      </c>
      <c r="H309" s="4" t="s">
        <v>2833</v>
      </c>
    </row>
    <row r="310" customFormat="false" ht="21.75" hidden="false" customHeight="true" outlineLevel="0" collapsed="false">
      <c r="B310" s="6" t="s">
        <v>150</v>
      </c>
      <c r="C310" s="6" t="s">
        <v>2836</v>
      </c>
      <c r="D310" s="10" t="n">
        <v>3</v>
      </c>
      <c r="E310" s="6" t="s">
        <v>28</v>
      </c>
      <c r="F310" s="6" t="s">
        <v>291</v>
      </c>
      <c r="G310" s="7" t="s">
        <v>4239</v>
      </c>
      <c r="H310" s="6" t="s">
        <v>2841</v>
      </c>
    </row>
    <row r="311" customFormat="false" ht="21.75" hidden="false" customHeight="true" outlineLevel="0" collapsed="false">
      <c r="B311" s="4" t="s">
        <v>150</v>
      </c>
      <c r="C311" s="4" t="s">
        <v>2844</v>
      </c>
      <c r="D311" s="9" t="n">
        <v>3</v>
      </c>
      <c r="E311" s="4" t="s">
        <v>28</v>
      </c>
      <c r="F311" s="4" t="s">
        <v>389</v>
      </c>
      <c r="G311" s="5" t="s">
        <v>4239</v>
      </c>
      <c r="H311" s="4" t="s">
        <v>2849</v>
      </c>
    </row>
    <row r="312" customFormat="false" ht="21.75" hidden="false" customHeight="true" outlineLevel="0" collapsed="false">
      <c r="B312" s="6" t="s">
        <v>150</v>
      </c>
      <c r="C312" s="6" t="s">
        <v>2852</v>
      </c>
      <c r="D312" s="10" t="n">
        <v>4</v>
      </c>
      <c r="E312" s="6" t="s">
        <v>30</v>
      </c>
      <c r="F312" s="6" t="s">
        <v>335</v>
      </c>
      <c r="G312" s="7" t="s">
        <v>4239</v>
      </c>
      <c r="H312" s="6" t="s">
        <v>2857</v>
      </c>
    </row>
    <row r="313" customFormat="false" ht="21.75" hidden="false" customHeight="true" outlineLevel="0" collapsed="false">
      <c r="B313" s="4" t="s">
        <v>150</v>
      </c>
      <c r="C313" s="4" t="s">
        <v>2860</v>
      </c>
      <c r="D313" s="9" t="n">
        <v>4</v>
      </c>
      <c r="E313" s="4" t="s">
        <v>30</v>
      </c>
      <c r="F313" s="4" t="s">
        <v>335</v>
      </c>
      <c r="G313" s="5" t="s">
        <v>4239</v>
      </c>
      <c r="H313" s="4" t="s">
        <v>2865</v>
      </c>
    </row>
    <row r="314" customFormat="false" ht="21.75" hidden="false" customHeight="true" outlineLevel="0" collapsed="false">
      <c r="B314" s="6" t="s">
        <v>156</v>
      </c>
      <c r="C314" s="6" t="s">
        <v>2868</v>
      </c>
      <c r="D314" s="10" t="n">
        <v>0</v>
      </c>
      <c r="E314" s="6" t="s">
        <v>22</v>
      </c>
      <c r="F314" s="6" t="s">
        <v>244</v>
      </c>
      <c r="G314" s="7" t="s">
        <v>4239</v>
      </c>
      <c r="H314" s="6" t="s">
        <v>2873</v>
      </c>
    </row>
    <row r="315" customFormat="false" ht="21.75" hidden="false" customHeight="true" outlineLevel="0" collapsed="false">
      <c r="B315" s="4" t="s">
        <v>156</v>
      </c>
      <c r="C315" s="4" t="s">
        <v>2876</v>
      </c>
      <c r="D315" s="9" t="n">
        <v>0</v>
      </c>
      <c r="E315" s="4" t="s">
        <v>22</v>
      </c>
      <c r="F315" s="4" t="s">
        <v>244</v>
      </c>
      <c r="G315" s="5" t="s">
        <v>4239</v>
      </c>
      <c r="H315" s="4" t="s">
        <v>2881</v>
      </c>
    </row>
    <row r="316" customFormat="false" ht="21.75" hidden="false" customHeight="true" outlineLevel="0" collapsed="false">
      <c r="B316" s="6" t="s">
        <v>156</v>
      </c>
      <c r="C316" s="6" t="s">
        <v>2891</v>
      </c>
      <c r="D316" s="10" t="n">
        <v>1</v>
      </c>
      <c r="E316" s="6" t="s">
        <v>24</v>
      </c>
      <c r="F316" s="6" t="s">
        <v>469</v>
      </c>
      <c r="G316" s="7" t="s">
        <v>4239</v>
      </c>
      <c r="H316" s="6" t="s">
        <v>2896</v>
      </c>
    </row>
    <row r="317" customFormat="false" ht="21.75" hidden="false" customHeight="true" outlineLevel="0" collapsed="false">
      <c r="B317" s="4" t="s">
        <v>156</v>
      </c>
      <c r="C317" s="4" t="s">
        <v>2906</v>
      </c>
      <c r="D317" s="9" t="n">
        <v>1</v>
      </c>
      <c r="E317" s="4" t="s">
        <v>24</v>
      </c>
      <c r="F317" s="4" t="s">
        <v>389</v>
      </c>
      <c r="G317" s="5" t="s">
        <v>4239</v>
      </c>
      <c r="H317" s="4" t="s">
        <v>2911</v>
      </c>
    </row>
    <row r="318" customFormat="false" ht="21.75" hidden="false" customHeight="true" outlineLevel="0" collapsed="false">
      <c r="B318" s="6" t="s">
        <v>156</v>
      </c>
      <c r="C318" s="6" t="s">
        <v>2914</v>
      </c>
      <c r="D318" s="10" t="n">
        <v>1</v>
      </c>
      <c r="E318" s="6" t="s">
        <v>24</v>
      </c>
      <c r="F318" s="6" t="s">
        <v>234</v>
      </c>
      <c r="G318" s="7" t="s">
        <v>4239</v>
      </c>
      <c r="H318" s="6" t="s">
        <v>2919</v>
      </c>
    </row>
    <row r="319" customFormat="false" ht="21.75" hidden="false" customHeight="true" outlineLevel="0" collapsed="false">
      <c r="B319" s="4" t="s">
        <v>156</v>
      </c>
      <c r="C319" s="4" t="s">
        <v>2922</v>
      </c>
      <c r="D319" s="9" t="n">
        <v>1</v>
      </c>
      <c r="E319" s="4" t="s">
        <v>24</v>
      </c>
      <c r="F319" s="4" t="s">
        <v>260</v>
      </c>
      <c r="G319" s="5" t="s">
        <v>4239</v>
      </c>
      <c r="H319" s="4" t="s">
        <v>2927</v>
      </c>
    </row>
    <row r="320" customFormat="false" ht="21.75" hidden="false" customHeight="true" outlineLevel="0" collapsed="false">
      <c r="B320" s="6" t="s">
        <v>156</v>
      </c>
      <c r="C320" s="6" t="s">
        <v>2930</v>
      </c>
      <c r="D320" s="10" t="n">
        <v>1</v>
      </c>
      <c r="E320" s="6" t="s">
        <v>24</v>
      </c>
      <c r="F320" s="6" t="s">
        <v>260</v>
      </c>
      <c r="G320" s="7" t="s">
        <v>4239</v>
      </c>
      <c r="H320" s="6" t="s">
        <v>2935</v>
      </c>
    </row>
    <row r="321" customFormat="false" ht="21.75" hidden="false" customHeight="true" outlineLevel="0" collapsed="false">
      <c r="B321" s="4" t="s">
        <v>156</v>
      </c>
      <c r="C321" s="4" t="s">
        <v>2938</v>
      </c>
      <c r="D321" s="9" t="n">
        <v>1</v>
      </c>
      <c r="E321" s="4" t="s">
        <v>24</v>
      </c>
      <c r="F321" s="4" t="s">
        <v>234</v>
      </c>
      <c r="G321" s="5" t="s">
        <v>4239</v>
      </c>
      <c r="H321" s="4" t="s">
        <v>2943</v>
      </c>
    </row>
    <row r="322" customFormat="false" ht="21.75" hidden="false" customHeight="true" outlineLevel="0" collapsed="false">
      <c r="B322" s="6" t="s">
        <v>156</v>
      </c>
      <c r="C322" s="6" t="s">
        <v>2946</v>
      </c>
      <c r="D322" s="10" t="n">
        <v>3</v>
      </c>
      <c r="E322" s="6" t="s">
        <v>28</v>
      </c>
      <c r="F322" s="6" t="s">
        <v>244</v>
      </c>
      <c r="G322" s="7" t="s">
        <v>4239</v>
      </c>
      <c r="H322" s="6" t="s">
        <v>2951</v>
      </c>
    </row>
    <row r="323" customFormat="false" ht="21.75" hidden="false" customHeight="true" outlineLevel="0" collapsed="false">
      <c r="B323" s="4" t="s">
        <v>156</v>
      </c>
      <c r="C323" s="4" t="s">
        <v>2954</v>
      </c>
      <c r="D323" s="9" t="n">
        <v>4</v>
      </c>
      <c r="E323" s="4" t="s">
        <v>30</v>
      </c>
      <c r="F323" s="4" t="s">
        <v>335</v>
      </c>
      <c r="G323" s="5" t="s">
        <v>4239</v>
      </c>
      <c r="H323" s="4" t="s">
        <v>2959</v>
      </c>
    </row>
    <row r="324" customFormat="false" ht="21.75" hidden="false" customHeight="true" outlineLevel="0" collapsed="false">
      <c r="B324" s="6" t="s">
        <v>156</v>
      </c>
      <c r="C324" s="6" t="s">
        <v>2962</v>
      </c>
      <c r="D324" s="10" t="n">
        <v>4</v>
      </c>
      <c r="E324" s="6" t="s">
        <v>30</v>
      </c>
      <c r="F324" s="6" t="s">
        <v>260</v>
      </c>
      <c r="G324" s="7" t="s">
        <v>4239</v>
      </c>
      <c r="H324" s="6" t="s">
        <v>2967</v>
      </c>
    </row>
    <row r="325" customFormat="false" ht="21.75" hidden="false" customHeight="true" outlineLevel="0" collapsed="false">
      <c r="B325" s="4" t="s">
        <v>156</v>
      </c>
      <c r="C325" s="4" t="s">
        <v>2970</v>
      </c>
      <c r="D325" s="9" t="n">
        <v>4</v>
      </c>
      <c r="E325" s="4" t="s">
        <v>30</v>
      </c>
      <c r="F325" s="4" t="s">
        <v>234</v>
      </c>
      <c r="G325" s="5" t="s">
        <v>4239</v>
      </c>
      <c r="H325" s="4" t="s">
        <v>2975</v>
      </c>
    </row>
    <row r="326" customFormat="false" ht="21.75" hidden="false" customHeight="true" outlineLevel="0" collapsed="false">
      <c r="B326" s="6" t="s">
        <v>162</v>
      </c>
      <c r="C326" s="6" t="s">
        <v>2978</v>
      </c>
      <c r="D326" s="10" t="n">
        <v>0</v>
      </c>
      <c r="E326" s="6" t="s">
        <v>22</v>
      </c>
      <c r="F326" s="6" t="s">
        <v>260</v>
      </c>
      <c r="G326" s="7" t="s">
        <v>4239</v>
      </c>
      <c r="H326" s="6" t="s">
        <v>2983</v>
      </c>
    </row>
    <row r="327" customFormat="false" ht="21.75" hidden="false" customHeight="true" outlineLevel="0" collapsed="false">
      <c r="B327" s="4" t="s">
        <v>162</v>
      </c>
      <c r="C327" s="4" t="s">
        <v>2986</v>
      </c>
      <c r="D327" s="9" t="n">
        <v>1</v>
      </c>
      <c r="E327" s="4" t="s">
        <v>24</v>
      </c>
      <c r="F327" s="4" t="s">
        <v>234</v>
      </c>
      <c r="G327" s="5" t="s">
        <v>4239</v>
      </c>
      <c r="H327" s="4" t="s">
        <v>2991</v>
      </c>
    </row>
    <row r="328" customFormat="false" ht="21.75" hidden="false" customHeight="true" outlineLevel="0" collapsed="false">
      <c r="B328" s="6" t="s">
        <v>162</v>
      </c>
      <c r="C328" s="6" t="s">
        <v>3008</v>
      </c>
      <c r="D328" s="10" t="n">
        <v>1</v>
      </c>
      <c r="E328" s="6" t="s">
        <v>24</v>
      </c>
      <c r="F328" s="6" t="s">
        <v>234</v>
      </c>
      <c r="G328" s="7" t="s">
        <v>4239</v>
      </c>
      <c r="H328" s="6" t="s">
        <v>3013</v>
      </c>
    </row>
    <row r="329" customFormat="false" ht="21.75" hidden="false" customHeight="true" outlineLevel="0" collapsed="false">
      <c r="B329" s="4" t="s">
        <v>162</v>
      </c>
      <c r="C329" s="4" t="s">
        <v>3016</v>
      </c>
      <c r="D329" s="9" t="n">
        <v>2</v>
      </c>
      <c r="E329" s="4" t="s">
        <v>26</v>
      </c>
      <c r="F329" s="4" t="s">
        <v>389</v>
      </c>
      <c r="G329" s="5" t="s">
        <v>4239</v>
      </c>
      <c r="H329" s="4" t="s">
        <v>3021</v>
      </c>
    </row>
    <row r="330" customFormat="false" ht="21.75" hidden="false" customHeight="true" outlineLevel="0" collapsed="false">
      <c r="B330" s="6" t="s">
        <v>162</v>
      </c>
      <c r="C330" s="6" t="s">
        <v>3024</v>
      </c>
      <c r="D330" s="10" t="n">
        <v>2</v>
      </c>
      <c r="E330" s="6" t="s">
        <v>26</v>
      </c>
      <c r="F330" s="6" t="s">
        <v>291</v>
      </c>
      <c r="G330" s="7" t="s">
        <v>4239</v>
      </c>
      <c r="H330" s="6" t="s">
        <v>3029</v>
      </c>
    </row>
    <row r="331" customFormat="false" ht="21.75" hidden="false" customHeight="true" outlineLevel="0" collapsed="false">
      <c r="B331" s="4" t="s">
        <v>162</v>
      </c>
      <c r="C331" s="4" t="s">
        <v>3032</v>
      </c>
      <c r="D331" s="9" t="n">
        <v>2</v>
      </c>
      <c r="E331" s="4" t="s">
        <v>26</v>
      </c>
      <c r="F331" s="4" t="s">
        <v>335</v>
      </c>
      <c r="G331" s="5" t="s">
        <v>4239</v>
      </c>
      <c r="H331" s="4" t="s">
        <v>3037</v>
      </c>
    </row>
    <row r="332" customFormat="false" ht="21.75" hidden="false" customHeight="true" outlineLevel="0" collapsed="false">
      <c r="B332" s="6" t="s">
        <v>162</v>
      </c>
      <c r="C332" s="6" t="s">
        <v>3040</v>
      </c>
      <c r="D332" s="10" t="n">
        <v>3</v>
      </c>
      <c r="E332" s="6" t="s">
        <v>28</v>
      </c>
      <c r="F332" s="6" t="s">
        <v>244</v>
      </c>
      <c r="G332" s="7" t="s">
        <v>4239</v>
      </c>
      <c r="H332" s="6" t="s">
        <v>3045</v>
      </c>
    </row>
    <row r="333" customFormat="false" ht="21.75" hidden="false" customHeight="true" outlineLevel="0" collapsed="false">
      <c r="B333" s="4" t="s">
        <v>162</v>
      </c>
      <c r="C333" s="4" t="s">
        <v>3055</v>
      </c>
      <c r="D333" s="9" t="n">
        <v>4</v>
      </c>
      <c r="E333" s="4" t="s">
        <v>30</v>
      </c>
      <c r="F333" s="4" t="s">
        <v>389</v>
      </c>
      <c r="G333" s="5" t="s">
        <v>4239</v>
      </c>
      <c r="H333" s="4" t="s">
        <v>3060</v>
      </c>
    </row>
    <row r="334" customFormat="false" ht="21.75" hidden="false" customHeight="true" outlineLevel="0" collapsed="false">
      <c r="B334" s="6" t="s">
        <v>162</v>
      </c>
      <c r="C334" s="6" t="s">
        <v>3063</v>
      </c>
      <c r="D334" s="10" t="n">
        <v>4</v>
      </c>
      <c r="E334" s="6" t="s">
        <v>30</v>
      </c>
      <c r="F334" s="6" t="s">
        <v>335</v>
      </c>
      <c r="G334" s="7" t="s">
        <v>4239</v>
      </c>
      <c r="H334" s="6" t="s">
        <v>3068</v>
      </c>
    </row>
    <row r="335" customFormat="false" ht="21.75" hidden="false" customHeight="true" outlineLevel="0" collapsed="false">
      <c r="B335" s="4" t="s">
        <v>168</v>
      </c>
      <c r="C335" s="4" t="s">
        <v>3071</v>
      </c>
      <c r="D335" s="9" t="n">
        <v>0</v>
      </c>
      <c r="E335" s="4" t="s">
        <v>22</v>
      </c>
      <c r="F335" s="4" t="s">
        <v>244</v>
      </c>
      <c r="G335" s="5" t="s">
        <v>4239</v>
      </c>
      <c r="H335" s="4" t="s">
        <v>3076</v>
      </c>
    </row>
    <row r="336" customFormat="false" ht="21.75" hidden="false" customHeight="true" outlineLevel="0" collapsed="false">
      <c r="B336" s="6" t="s">
        <v>168</v>
      </c>
      <c r="C336" s="6" t="s">
        <v>3086</v>
      </c>
      <c r="D336" s="10" t="n">
        <v>1</v>
      </c>
      <c r="E336" s="6" t="s">
        <v>24</v>
      </c>
      <c r="F336" s="6" t="s">
        <v>244</v>
      </c>
      <c r="G336" s="7" t="s">
        <v>4239</v>
      </c>
      <c r="H336" s="6" t="s">
        <v>3091</v>
      </c>
    </row>
    <row r="337" customFormat="false" ht="21.75" hidden="false" customHeight="true" outlineLevel="0" collapsed="false">
      <c r="B337" s="4" t="s">
        <v>168</v>
      </c>
      <c r="C337" s="4" t="s">
        <v>3094</v>
      </c>
      <c r="D337" s="9" t="n">
        <v>1</v>
      </c>
      <c r="E337" s="4" t="s">
        <v>24</v>
      </c>
      <c r="F337" s="4" t="s">
        <v>389</v>
      </c>
      <c r="G337" s="5" t="s">
        <v>4239</v>
      </c>
      <c r="H337" s="4" t="s">
        <v>3099</v>
      </c>
    </row>
    <row r="338" customFormat="false" ht="21.75" hidden="false" customHeight="true" outlineLevel="0" collapsed="false">
      <c r="B338" s="6" t="s">
        <v>168</v>
      </c>
      <c r="C338" s="6" t="s">
        <v>3102</v>
      </c>
      <c r="D338" s="10" t="n">
        <v>1</v>
      </c>
      <c r="E338" s="6" t="s">
        <v>24</v>
      </c>
      <c r="F338" s="6" t="s">
        <v>244</v>
      </c>
      <c r="G338" s="7" t="s">
        <v>4239</v>
      </c>
      <c r="H338" s="6" t="s">
        <v>3107</v>
      </c>
    </row>
    <row r="339" customFormat="false" ht="21.75" hidden="false" customHeight="true" outlineLevel="0" collapsed="false">
      <c r="B339" s="4" t="s">
        <v>168</v>
      </c>
      <c r="C339" s="4" t="s">
        <v>3124</v>
      </c>
      <c r="D339" s="9" t="n">
        <v>2</v>
      </c>
      <c r="E339" s="4" t="s">
        <v>26</v>
      </c>
      <c r="F339" s="4" t="s">
        <v>335</v>
      </c>
      <c r="G339" s="5" t="s">
        <v>4239</v>
      </c>
      <c r="H339" s="4" t="s">
        <v>3129</v>
      </c>
    </row>
    <row r="340" customFormat="false" ht="21.75" hidden="false" customHeight="true" outlineLevel="0" collapsed="false">
      <c r="B340" s="6" t="s">
        <v>168</v>
      </c>
      <c r="C340" s="6" t="s">
        <v>3132</v>
      </c>
      <c r="D340" s="10" t="n">
        <v>2</v>
      </c>
      <c r="E340" s="6" t="s">
        <v>26</v>
      </c>
      <c r="F340" s="6" t="s">
        <v>389</v>
      </c>
      <c r="G340" s="7" t="s">
        <v>4239</v>
      </c>
      <c r="H340" s="6" t="s">
        <v>3137</v>
      </c>
    </row>
    <row r="341" customFormat="false" ht="21.75" hidden="false" customHeight="true" outlineLevel="0" collapsed="false">
      <c r="B341" s="4" t="s">
        <v>168</v>
      </c>
      <c r="C341" s="4" t="s">
        <v>3140</v>
      </c>
      <c r="D341" s="9" t="n">
        <v>3</v>
      </c>
      <c r="E341" s="4" t="s">
        <v>28</v>
      </c>
      <c r="F341" s="4" t="s">
        <v>335</v>
      </c>
      <c r="G341" s="5" t="s">
        <v>4239</v>
      </c>
      <c r="H341" s="4" t="s">
        <v>3145</v>
      </c>
    </row>
    <row r="342" customFormat="false" ht="21.75" hidden="false" customHeight="true" outlineLevel="0" collapsed="false">
      <c r="B342" s="6" t="s">
        <v>168</v>
      </c>
      <c r="C342" s="6" t="s">
        <v>3148</v>
      </c>
      <c r="D342" s="10" t="n">
        <v>3</v>
      </c>
      <c r="E342" s="6" t="s">
        <v>28</v>
      </c>
      <c r="F342" s="6" t="s">
        <v>234</v>
      </c>
      <c r="G342" s="7" t="s">
        <v>4239</v>
      </c>
      <c r="H342" s="6" t="s">
        <v>3153</v>
      </c>
    </row>
    <row r="343" customFormat="false" ht="21.75" hidden="false" customHeight="true" outlineLevel="0" collapsed="false">
      <c r="B343" s="4" t="s">
        <v>168</v>
      </c>
      <c r="C343" s="4" t="s">
        <v>3156</v>
      </c>
      <c r="D343" s="9" t="n">
        <v>4</v>
      </c>
      <c r="E343" s="4" t="s">
        <v>30</v>
      </c>
      <c r="F343" s="4" t="s">
        <v>234</v>
      </c>
      <c r="G343" s="5" t="s">
        <v>4239</v>
      </c>
      <c r="H343" s="4" t="s">
        <v>3161</v>
      </c>
    </row>
    <row r="344" customFormat="false" ht="21.75" hidden="false" customHeight="true" outlineLevel="0" collapsed="false">
      <c r="B344" s="6" t="s">
        <v>168</v>
      </c>
      <c r="C344" s="6" t="s">
        <v>3164</v>
      </c>
      <c r="D344" s="10" t="n">
        <v>4</v>
      </c>
      <c r="E344" s="6" t="s">
        <v>30</v>
      </c>
      <c r="F344" s="6" t="s">
        <v>335</v>
      </c>
      <c r="G344" s="7" t="s">
        <v>4239</v>
      </c>
      <c r="H344" s="6" t="s">
        <v>3169</v>
      </c>
    </row>
    <row r="345" customFormat="false" ht="21.75" hidden="false" customHeight="true" outlineLevel="0" collapsed="false">
      <c r="B345" s="4" t="s">
        <v>174</v>
      </c>
      <c r="C345" s="4" t="s">
        <v>3179</v>
      </c>
      <c r="D345" s="9" t="n">
        <v>0</v>
      </c>
      <c r="E345" s="4" t="s">
        <v>22</v>
      </c>
      <c r="F345" s="4" t="s">
        <v>260</v>
      </c>
      <c r="G345" s="5" t="s">
        <v>4239</v>
      </c>
      <c r="H345" s="4" t="s">
        <v>3184</v>
      </c>
    </row>
    <row r="346" customFormat="false" ht="21.75" hidden="false" customHeight="true" outlineLevel="0" collapsed="false">
      <c r="B346" s="6" t="s">
        <v>174</v>
      </c>
      <c r="C346" s="6" t="s">
        <v>3187</v>
      </c>
      <c r="D346" s="10" t="n">
        <v>1</v>
      </c>
      <c r="E346" s="6" t="s">
        <v>24</v>
      </c>
      <c r="F346" s="6" t="s">
        <v>260</v>
      </c>
      <c r="G346" s="7" t="s">
        <v>4239</v>
      </c>
      <c r="H346" s="6" t="s">
        <v>3192</v>
      </c>
    </row>
    <row r="347" customFormat="false" ht="21.75" hidden="false" customHeight="true" outlineLevel="0" collapsed="false">
      <c r="B347" s="4" t="s">
        <v>174</v>
      </c>
      <c r="C347" s="4" t="s">
        <v>3195</v>
      </c>
      <c r="D347" s="9" t="n">
        <v>1</v>
      </c>
      <c r="E347" s="4" t="s">
        <v>24</v>
      </c>
      <c r="F347" s="4" t="s">
        <v>234</v>
      </c>
      <c r="G347" s="5" t="s">
        <v>4239</v>
      </c>
      <c r="H347" s="4" t="s">
        <v>3200</v>
      </c>
    </row>
    <row r="348" customFormat="false" ht="21.75" hidden="false" customHeight="true" outlineLevel="0" collapsed="false">
      <c r="B348" s="6" t="s">
        <v>174</v>
      </c>
      <c r="C348" s="6" t="s">
        <v>3210</v>
      </c>
      <c r="D348" s="10" t="n">
        <v>2</v>
      </c>
      <c r="E348" s="6" t="s">
        <v>26</v>
      </c>
      <c r="F348" s="6" t="s">
        <v>389</v>
      </c>
      <c r="G348" s="7" t="s">
        <v>4239</v>
      </c>
      <c r="H348" s="6" t="s">
        <v>3215</v>
      </c>
    </row>
    <row r="349" customFormat="false" ht="21.75" hidden="false" customHeight="true" outlineLevel="0" collapsed="false">
      <c r="B349" s="4" t="s">
        <v>174</v>
      </c>
      <c r="C349" s="4" t="s">
        <v>3218</v>
      </c>
      <c r="D349" s="9" t="n">
        <v>2</v>
      </c>
      <c r="E349" s="4" t="s">
        <v>26</v>
      </c>
      <c r="F349" s="4" t="s">
        <v>244</v>
      </c>
      <c r="G349" s="5" t="s">
        <v>4239</v>
      </c>
      <c r="H349" s="4" t="s">
        <v>3223</v>
      </c>
    </row>
    <row r="350" customFormat="false" ht="21.75" hidden="false" customHeight="true" outlineLevel="0" collapsed="false">
      <c r="B350" s="6" t="s">
        <v>174</v>
      </c>
      <c r="C350" s="6" t="s">
        <v>3240</v>
      </c>
      <c r="D350" s="10" t="n">
        <v>4</v>
      </c>
      <c r="E350" s="6" t="s">
        <v>30</v>
      </c>
      <c r="F350" s="6" t="s">
        <v>335</v>
      </c>
      <c r="G350" s="7" t="s">
        <v>4239</v>
      </c>
      <c r="H350" s="6" t="s">
        <v>3245</v>
      </c>
    </row>
    <row r="351" customFormat="false" ht="21.75" hidden="false" customHeight="true" outlineLevel="0" collapsed="false">
      <c r="B351" s="4" t="s">
        <v>179</v>
      </c>
      <c r="C351" s="4" t="s">
        <v>3262</v>
      </c>
      <c r="D351" s="9" t="n">
        <v>1</v>
      </c>
      <c r="E351" s="4" t="s">
        <v>24</v>
      </c>
      <c r="F351" s="4" t="s">
        <v>244</v>
      </c>
      <c r="G351" s="5" t="s">
        <v>4239</v>
      </c>
      <c r="H351" s="4" t="s">
        <v>3267</v>
      </c>
    </row>
    <row r="352" customFormat="false" ht="21.75" hidden="false" customHeight="true" outlineLevel="0" collapsed="false">
      <c r="B352" s="6" t="s">
        <v>179</v>
      </c>
      <c r="C352" s="6" t="s">
        <v>3270</v>
      </c>
      <c r="D352" s="10" t="n">
        <v>1</v>
      </c>
      <c r="E352" s="6" t="s">
        <v>24</v>
      </c>
      <c r="F352" s="6" t="s">
        <v>244</v>
      </c>
      <c r="G352" s="7" t="s">
        <v>4239</v>
      </c>
      <c r="H352" s="6" t="s">
        <v>3275</v>
      </c>
    </row>
    <row r="353" customFormat="false" ht="21.75" hidden="false" customHeight="true" outlineLevel="0" collapsed="false">
      <c r="B353" s="4" t="s">
        <v>179</v>
      </c>
      <c r="C353" s="4" t="s">
        <v>3278</v>
      </c>
      <c r="D353" s="9" t="n">
        <v>1</v>
      </c>
      <c r="E353" s="4" t="s">
        <v>24</v>
      </c>
      <c r="F353" s="4" t="s">
        <v>244</v>
      </c>
      <c r="G353" s="5" t="s">
        <v>4239</v>
      </c>
      <c r="H353" s="4" t="s">
        <v>3283</v>
      </c>
    </row>
    <row r="354" customFormat="false" ht="21.75" hidden="false" customHeight="true" outlineLevel="0" collapsed="false">
      <c r="B354" s="6" t="s">
        <v>179</v>
      </c>
      <c r="C354" s="6" t="s">
        <v>3286</v>
      </c>
      <c r="D354" s="10" t="n">
        <v>1</v>
      </c>
      <c r="E354" s="6" t="s">
        <v>24</v>
      </c>
      <c r="F354" s="6" t="s">
        <v>244</v>
      </c>
      <c r="G354" s="7" t="s">
        <v>4239</v>
      </c>
      <c r="H354" s="6" t="s">
        <v>3291</v>
      </c>
    </row>
    <row r="355" customFormat="false" ht="21.75" hidden="false" customHeight="true" outlineLevel="0" collapsed="false">
      <c r="B355" s="4" t="s">
        <v>179</v>
      </c>
      <c r="C355" s="4" t="s">
        <v>3301</v>
      </c>
      <c r="D355" s="9" t="n">
        <v>2</v>
      </c>
      <c r="E355" s="4" t="s">
        <v>26</v>
      </c>
      <c r="F355" s="4" t="s">
        <v>389</v>
      </c>
      <c r="G355" s="5" t="s">
        <v>4239</v>
      </c>
      <c r="H355" s="4" t="s">
        <v>3306</v>
      </c>
    </row>
    <row r="356" customFormat="false" ht="21.75" hidden="false" customHeight="true" outlineLevel="0" collapsed="false">
      <c r="B356" s="6" t="s">
        <v>179</v>
      </c>
      <c r="C356" s="6" t="s">
        <v>3309</v>
      </c>
      <c r="D356" s="10" t="n">
        <v>2</v>
      </c>
      <c r="E356" s="6" t="s">
        <v>26</v>
      </c>
      <c r="F356" s="6" t="s">
        <v>244</v>
      </c>
      <c r="G356" s="7" t="s">
        <v>4239</v>
      </c>
      <c r="H356" s="6" t="s">
        <v>3314</v>
      </c>
    </row>
    <row r="357" customFormat="false" ht="21.75" hidden="false" customHeight="true" outlineLevel="0" collapsed="false">
      <c r="B357" s="4" t="s">
        <v>179</v>
      </c>
      <c r="C357" s="4" t="s">
        <v>3352</v>
      </c>
      <c r="D357" s="9" t="n">
        <v>4</v>
      </c>
      <c r="E357" s="4" t="s">
        <v>30</v>
      </c>
      <c r="F357" s="4" t="s">
        <v>335</v>
      </c>
      <c r="G357" s="5" t="s">
        <v>4239</v>
      </c>
      <c r="H357" s="4" t="s">
        <v>3357</v>
      </c>
    </row>
    <row r="358" customFormat="false" ht="21.75" hidden="false" customHeight="true" outlineLevel="0" collapsed="false">
      <c r="B358" s="6" t="s">
        <v>179</v>
      </c>
      <c r="C358" s="6" t="s">
        <v>3360</v>
      </c>
      <c r="D358" s="10" t="n">
        <v>4</v>
      </c>
      <c r="E358" s="6" t="s">
        <v>30</v>
      </c>
      <c r="F358" s="6" t="s">
        <v>335</v>
      </c>
      <c r="G358" s="7" t="s">
        <v>4239</v>
      </c>
      <c r="H358" s="6" t="s">
        <v>3365</v>
      </c>
    </row>
    <row r="359" customFormat="false" ht="21.75" hidden="false" customHeight="true" outlineLevel="0" collapsed="false">
      <c r="B359" s="4" t="s">
        <v>179</v>
      </c>
      <c r="C359" s="4" t="s">
        <v>3375</v>
      </c>
      <c r="D359" s="9" t="n">
        <v>4</v>
      </c>
      <c r="E359" s="4" t="s">
        <v>30</v>
      </c>
      <c r="F359" s="4" t="s">
        <v>234</v>
      </c>
      <c r="G359" s="5" t="s">
        <v>4239</v>
      </c>
      <c r="H359" s="4" t="s">
        <v>3380</v>
      </c>
    </row>
    <row r="360" customFormat="false" ht="21.75" hidden="false" customHeight="true" outlineLevel="0" collapsed="false">
      <c r="B360" s="6" t="s">
        <v>179</v>
      </c>
      <c r="C360" s="6" t="s">
        <v>3383</v>
      </c>
      <c r="D360" s="10" t="n">
        <v>2</v>
      </c>
      <c r="E360" s="6" t="s">
        <v>26</v>
      </c>
      <c r="F360" s="6" t="s">
        <v>291</v>
      </c>
      <c r="G360" s="7" t="s">
        <v>4239</v>
      </c>
      <c r="H360" s="6" t="s">
        <v>3388</v>
      </c>
    </row>
    <row r="361" customFormat="false" ht="21.75" hidden="false" customHeight="true" outlineLevel="0" collapsed="false">
      <c r="B361" s="4" t="s">
        <v>185</v>
      </c>
      <c r="C361" s="4" t="s">
        <v>3405</v>
      </c>
      <c r="D361" s="9" t="n">
        <v>1</v>
      </c>
      <c r="E361" s="4" t="s">
        <v>24</v>
      </c>
      <c r="F361" s="4" t="s">
        <v>469</v>
      </c>
      <c r="G361" s="5" t="s">
        <v>4239</v>
      </c>
      <c r="H361" s="4" t="s">
        <v>3410</v>
      </c>
    </row>
    <row r="362" customFormat="false" ht="21.75" hidden="false" customHeight="true" outlineLevel="0" collapsed="false">
      <c r="B362" s="6" t="s">
        <v>185</v>
      </c>
      <c r="C362" s="6" t="s">
        <v>3448</v>
      </c>
      <c r="D362" s="10" t="n">
        <v>2</v>
      </c>
      <c r="E362" s="6" t="s">
        <v>26</v>
      </c>
      <c r="F362" s="6" t="s">
        <v>244</v>
      </c>
      <c r="G362" s="7" t="s">
        <v>4239</v>
      </c>
      <c r="H362" s="6" t="s">
        <v>3453</v>
      </c>
    </row>
    <row r="363" customFormat="false" ht="21.75" hidden="false" customHeight="true" outlineLevel="0" collapsed="false">
      <c r="B363" s="4" t="s">
        <v>185</v>
      </c>
      <c r="C363" s="4" t="s">
        <v>3456</v>
      </c>
      <c r="D363" s="9" t="n">
        <v>1</v>
      </c>
      <c r="E363" s="4" t="s">
        <v>24</v>
      </c>
      <c r="F363" s="4" t="s">
        <v>469</v>
      </c>
      <c r="G363" s="5" t="s">
        <v>4239</v>
      </c>
      <c r="H363" s="4" t="s">
        <v>3461</v>
      </c>
    </row>
    <row r="364" customFormat="false" ht="21.75" hidden="false" customHeight="true" outlineLevel="0" collapsed="false">
      <c r="B364" s="6" t="s">
        <v>185</v>
      </c>
      <c r="C364" s="6" t="s">
        <v>3464</v>
      </c>
      <c r="D364" s="10" t="n">
        <v>1</v>
      </c>
      <c r="E364" s="6" t="s">
        <v>24</v>
      </c>
      <c r="F364" s="6" t="s">
        <v>469</v>
      </c>
      <c r="G364" s="7" t="s">
        <v>4239</v>
      </c>
      <c r="H364" s="6" t="s">
        <v>3469</v>
      </c>
    </row>
    <row r="365" customFormat="false" ht="21.75" hidden="false" customHeight="true" outlineLevel="0" collapsed="false">
      <c r="B365" s="4" t="s">
        <v>185</v>
      </c>
      <c r="C365" s="4" t="s">
        <v>3472</v>
      </c>
      <c r="D365" s="9" t="n">
        <v>2</v>
      </c>
      <c r="E365" s="4" t="s">
        <v>26</v>
      </c>
      <c r="F365" s="4" t="s">
        <v>234</v>
      </c>
      <c r="G365" s="5" t="s">
        <v>4239</v>
      </c>
      <c r="H365" s="4" t="s">
        <v>3477</v>
      </c>
    </row>
    <row r="366" customFormat="false" ht="21.75" hidden="false" customHeight="true" outlineLevel="0" collapsed="false">
      <c r="B366" s="6" t="s">
        <v>185</v>
      </c>
      <c r="C366" s="6" t="s">
        <v>3501</v>
      </c>
      <c r="D366" s="10" t="n">
        <v>2</v>
      </c>
      <c r="E366" s="6" t="s">
        <v>26</v>
      </c>
      <c r="F366" s="6" t="s">
        <v>244</v>
      </c>
      <c r="G366" s="7" t="s">
        <v>4239</v>
      </c>
      <c r="H366" s="6" t="s">
        <v>3506</v>
      </c>
    </row>
    <row r="367" customFormat="false" ht="21.75" hidden="false" customHeight="true" outlineLevel="0" collapsed="false">
      <c r="B367" s="4" t="s">
        <v>185</v>
      </c>
      <c r="C367" s="4" t="s">
        <v>3523</v>
      </c>
      <c r="D367" s="9" t="n">
        <v>1</v>
      </c>
      <c r="E367" s="4" t="s">
        <v>24</v>
      </c>
      <c r="F367" s="4" t="s">
        <v>234</v>
      </c>
      <c r="G367" s="5" t="s">
        <v>4239</v>
      </c>
      <c r="H367" s="4" t="s">
        <v>3528</v>
      </c>
    </row>
    <row r="368" customFormat="false" ht="21.75" hidden="false" customHeight="true" outlineLevel="0" collapsed="false">
      <c r="B368" s="6" t="s">
        <v>185</v>
      </c>
      <c r="C368" s="6" t="s">
        <v>3531</v>
      </c>
      <c r="D368" s="10" t="n">
        <v>2</v>
      </c>
      <c r="E368" s="6" t="s">
        <v>26</v>
      </c>
      <c r="F368" s="6" t="s">
        <v>389</v>
      </c>
      <c r="G368" s="7" t="s">
        <v>4239</v>
      </c>
      <c r="H368" s="6" t="s">
        <v>3536</v>
      </c>
    </row>
    <row r="369" customFormat="false" ht="21.75" hidden="false" customHeight="true" outlineLevel="0" collapsed="false">
      <c r="B369" s="4" t="s">
        <v>185</v>
      </c>
      <c r="C369" s="4" t="s">
        <v>3539</v>
      </c>
      <c r="D369" s="9" t="n">
        <v>4</v>
      </c>
      <c r="E369" s="4" t="s">
        <v>30</v>
      </c>
      <c r="F369" s="4" t="s">
        <v>335</v>
      </c>
      <c r="G369" s="5" t="s">
        <v>4239</v>
      </c>
      <c r="H369" s="4" t="s">
        <v>3544</v>
      </c>
    </row>
    <row r="370" customFormat="false" ht="21.75" hidden="false" customHeight="true" outlineLevel="0" collapsed="false">
      <c r="B370" s="6" t="s">
        <v>190</v>
      </c>
      <c r="C370" s="6" t="s">
        <v>3568</v>
      </c>
      <c r="D370" s="10" t="n">
        <v>0</v>
      </c>
      <c r="E370" s="6" t="s">
        <v>22</v>
      </c>
      <c r="F370" s="6" t="s">
        <v>260</v>
      </c>
      <c r="G370" s="7" t="s">
        <v>4239</v>
      </c>
      <c r="H370" s="6" t="s">
        <v>3573</v>
      </c>
    </row>
    <row r="371" customFormat="false" ht="21.75" hidden="false" customHeight="true" outlineLevel="0" collapsed="false">
      <c r="B371" s="4" t="s">
        <v>190</v>
      </c>
      <c r="C371" s="4" t="s">
        <v>3590</v>
      </c>
      <c r="D371" s="9" t="n">
        <v>2</v>
      </c>
      <c r="E371" s="4" t="s">
        <v>26</v>
      </c>
      <c r="F371" s="4" t="s">
        <v>291</v>
      </c>
      <c r="G371" s="5" t="s">
        <v>4239</v>
      </c>
      <c r="H371" s="4" t="s">
        <v>3595</v>
      </c>
    </row>
    <row r="372" customFormat="false" ht="21.75" hidden="false" customHeight="true" outlineLevel="0" collapsed="false">
      <c r="B372" s="6" t="s">
        <v>190</v>
      </c>
      <c r="C372" s="6" t="s">
        <v>3605</v>
      </c>
      <c r="D372" s="10" t="n">
        <v>2</v>
      </c>
      <c r="E372" s="6" t="s">
        <v>26</v>
      </c>
      <c r="F372" s="6" t="s">
        <v>389</v>
      </c>
      <c r="G372" s="7" t="s">
        <v>4239</v>
      </c>
      <c r="H372" s="6" t="s">
        <v>3610</v>
      </c>
    </row>
    <row r="373" customFormat="false" ht="21.75" hidden="false" customHeight="true" outlineLevel="0" collapsed="false">
      <c r="B373" s="4" t="s">
        <v>190</v>
      </c>
      <c r="C373" s="4" t="s">
        <v>3613</v>
      </c>
      <c r="D373" s="9" t="n">
        <v>2</v>
      </c>
      <c r="E373" s="4" t="s">
        <v>26</v>
      </c>
      <c r="F373" s="4" t="s">
        <v>244</v>
      </c>
      <c r="G373" s="5" t="s">
        <v>4239</v>
      </c>
      <c r="H373" s="4" t="s">
        <v>3618</v>
      </c>
    </row>
    <row r="374" customFormat="false" ht="21.75" hidden="false" customHeight="true" outlineLevel="0" collapsed="false">
      <c r="B374" s="6" t="s">
        <v>190</v>
      </c>
      <c r="C374" s="6" t="s">
        <v>3621</v>
      </c>
      <c r="D374" s="10" t="n">
        <v>1</v>
      </c>
      <c r="E374" s="6" t="s">
        <v>24</v>
      </c>
      <c r="F374" s="6" t="s">
        <v>335</v>
      </c>
      <c r="G374" s="7" t="s">
        <v>4239</v>
      </c>
      <c r="H374" s="6" t="s">
        <v>3626</v>
      </c>
    </row>
    <row r="375" customFormat="false" ht="21.75" hidden="false" customHeight="true" outlineLevel="0" collapsed="false">
      <c r="B375" s="4" t="s">
        <v>190</v>
      </c>
      <c r="C375" s="4" t="s">
        <v>3629</v>
      </c>
      <c r="D375" s="9" t="n">
        <v>1</v>
      </c>
      <c r="E375" s="4" t="s">
        <v>24</v>
      </c>
      <c r="F375" s="4" t="s">
        <v>291</v>
      </c>
      <c r="G375" s="5" t="s">
        <v>4239</v>
      </c>
      <c r="H375" s="4" t="s">
        <v>3634</v>
      </c>
    </row>
    <row r="376" customFormat="false" ht="21.75" hidden="false" customHeight="true" outlineLevel="0" collapsed="false">
      <c r="B376" s="6" t="s">
        <v>190</v>
      </c>
      <c r="C376" s="6" t="s">
        <v>3637</v>
      </c>
      <c r="D376" s="10" t="n">
        <v>1</v>
      </c>
      <c r="E376" s="6" t="s">
        <v>24</v>
      </c>
      <c r="F376" s="6" t="s">
        <v>244</v>
      </c>
      <c r="G376" s="7" t="s">
        <v>4239</v>
      </c>
      <c r="H376" s="6" t="s">
        <v>3642</v>
      </c>
    </row>
    <row r="377" customFormat="false" ht="21.75" hidden="false" customHeight="true" outlineLevel="0" collapsed="false">
      <c r="B377" s="4" t="s">
        <v>190</v>
      </c>
      <c r="C377" s="4" t="s">
        <v>3652</v>
      </c>
      <c r="D377" s="9" t="n">
        <v>4</v>
      </c>
      <c r="E377" s="4" t="s">
        <v>30</v>
      </c>
      <c r="F377" s="4" t="s">
        <v>335</v>
      </c>
      <c r="G377" s="5" t="s">
        <v>4239</v>
      </c>
      <c r="H377" s="4" t="s">
        <v>3657</v>
      </c>
    </row>
    <row r="378" customFormat="false" ht="21.75" hidden="false" customHeight="true" outlineLevel="0" collapsed="false">
      <c r="B378" s="6" t="s">
        <v>190</v>
      </c>
      <c r="C378" s="6" t="s">
        <v>3667</v>
      </c>
      <c r="D378" s="10" t="n">
        <v>2</v>
      </c>
      <c r="E378" s="6" t="s">
        <v>26</v>
      </c>
      <c r="F378" s="6" t="s">
        <v>389</v>
      </c>
      <c r="G378" s="7" t="s">
        <v>4239</v>
      </c>
      <c r="H378" s="6" t="s">
        <v>3672</v>
      </c>
    </row>
    <row r="379" customFormat="false" ht="21.75" hidden="false" customHeight="true" outlineLevel="0" collapsed="false">
      <c r="B379" s="4" t="s">
        <v>195</v>
      </c>
      <c r="C379" s="4" t="s">
        <v>3703</v>
      </c>
      <c r="D379" s="9" t="n">
        <v>2</v>
      </c>
      <c r="E379" s="4" t="s">
        <v>26</v>
      </c>
      <c r="F379" s="4" t="s">
        <v>389</v>
      </c>
      <c r="G379" s="5" t="s">
        <v>4239</v>
      </c>
      <c r="H379" s="4" t="s">
        <v>3708</v>
      </c>
    </row>
    <row r="380" customFormat="false" ht="21.75" hidden="false" customHeight="true" outlineLevel="0" collapsed="false">
      <c r="B380" s="6" t="s">
        <v>195</v>
      </c>
      <c r="C380" s="6" t="s">
        <v>3718</v>
      </c>
      <c r="D380" s="10" t="n">
        <v>2</v>
      </c>
      <c r="E380" s="6" t="s">
        <v>26</v>
      </c>
      <c r="F380" s="6" t="s">
        <v>291</v>
      </c>
      <c r="G380" s="7" t="s">
        <v>4239</v>
      </c>
      <c r="H380" s="6" t="s">
        <v>3723</v>
      </c>
    </row>
    <row r="381" customFormat="false" ht="21.75" hidden="false" customHeight="true" outlineLevel="0" collapsed="false">
      <c r="B381" s="4" t="s">
        <v>195</v>
      </c>
      <c r="C381" s="4" t="s">
        <v>3740</v>
      </c>
      <c r="D381" s="9" t="n">
        <v>2</v>
      </c>
      <c r="E381" s="4" t="s">
        <v>26</v>
      </c>
      <c r="F381" s="4" t="s">
        <v>234</v>
      </c>
      <c r="G381" s="5" t="s">
        <v>4239</v>
      </c>
      <c r="H381" s="4" t="s">
        <v>3745</v>
      </c>
    </row>
    <row r="382" customFormat="false" ht="21.75" hidden="false" customHeight="true" outlineLevel="0" collapsed="false">
      <c r="B382" s="6" t="s">
        <v>195</v>
      </c>
      <c r="C382" s="6" t="s">
        <v>3769</v>
      </c>
      <c r="D382" s="10" t="n">
        <v>2</v>
      </c>
      <c r="E382" s="6" t="s">
        <v>26</v>
      </c>
      <c r="F382" s="6" t="s">
        <v>244</v>
      </c>
      <c r="G382" s="7" t="s">
        <v>4239</v>
      </c>
      <c r="H382" s="6" t="s">
        <v>3774</v>
      </c>
    </row>
    <row r="383" customFormat="false" ht="21.75" hidden="false" customHeight="true" outlineLevel="0" collapsed="false">
      <c r="B383" s="4" t="s">
        <v>195</v>
      </c>
      <c r="C383" s="4" t="s">
        <v>3784</v>
      </c>
      <c r="D383" s="9" t="n">
        <v>2</v>
      </c>
      <c r="E383" s="4" t="s">
        <v>26</v>
      </c>
      <c r="F383" s="4" t="s">
        <v>291</v>
      </c>
      <c r="G383" s="5" t="s">
        <v>4239</v>
      </c>
      <c r="H383" s="4" t="s">
        <v>3789</v>
      </c>
    </row>
    <row r="384" customFormat="false" ht="21.75" hidden="false" customHeight="true" outlineLevel="0" collapsed="false">
      <c r="B384" s="6" t="s">
        <v>199</v>
      </c>
      <c r="C384" s="6" t="s">
        <v>3826</v>
      </c>
      <c r="D384" s="10" t="n">
        <v>1</v>
      </c>
      <c r="E384" s="6" t="s">
        <v>24</v>
      </c>
      <c r="F384" s="6" t="s">
        <v>291</v>
      </c>
      <c r="G384" s="7" t="s">
        <v>4239</v>
      </c>
      <c r="H384" s="6" t="s">
        <v>3831</v>
      </c>
    </row>
    <row r="385" customFormat="false" ht="21.75" hidden="false" customHeight="true" outlineLevel="0" collapsed="false">
      <c r="B385" s="4" t="s">
        <v>199</v>
      </c>
      <c r="C385" s="4" t="s">
        <v>3841</v>
      </c>
      <c r="D385" s="9" t="n">
        <v>4</v>
      </c>
      <c r="E385" s="4" t="s">
        <v>30</v>
      </c>
      <c r="F385" s="4" t="s">
        <v>244</v>
      </c>
      <c r="G385" s="5" t="s">
        <v>4239</v>
      </c>
      <c r="H385" s="4" t="s">
        <v>3846</v>
      </c>
    </row>
    <row r="386" customFormat="false" ht="21.75" hidden="false" customHeight="true" outlineLevel="0" collapsed="false">
      <c r="B386" s="6" t="s">
        <v>199</v>
      </c>
      <c r="C386" s="6" t="s">
        <v>3849</v>
      </c>
      <c r="D386" s="10" t="n">
        <v>2</v>
      </c>
      <c r="E386" s="6" t="s">
        <v>26</v>
      </c>
      <c r="F386" s="6" t="s">
        <v>244</v>
      </c>
      <c r="G386" s="7" t="s">
        <v>4239</v>
      </c>
      <c r="H386" s="6" t="s">
        <v>3854</v>
      </c>
    </row>
    <row r="387" customFormat="false" ht="21.75" hidden="false" customHeight="true" outlineLevel="0" collapsed="false">
      <c r="B387" s="4" t="s">
        <v>199</v>
      </c>
      <c r="C387" s="4" t="s">
        <v>3857</v>
      </c>
      <c r="D387" s="9" t="n">
        <v>4</v>
      </c>
      <c r="E387" s="4" t="s">
        <v>30</v>
      </c>
      <c r="F387" s="4" t="s">
        <v>389</v>
      </c>
      <c r="G387" s="5" t="s">
        <v>4239</v>
      </c>
      <c r="H387" s="4" t="s">
        <v>3862</v>
      </c>
    </row>
    <row r="388" customFormat="false" ht="21.75" hidden="false" customHeight="true" outlineLevel="0" collapsed="false">
      <c r="B388" s="6" t="s">
        <v>199</v>
      </c>
      <c r="C388" s="6" t="s">
        <v>3865</v>
      </c>
      <c r="D388" s="10" t="n">
        <v>4</v>
      </c>
      <c r="E388" s="6" t="s">
        <v>30</v>
      </c>
      <c r="F388" s="6" t="s">
        <v>389</v>
      </c>
      <c r="G388" s="7" t="s">
        <v>4239</v>
      </c>
      <c r="H388" s="6" t="s">
        <v>3870</v>
      </c>
    </row>
    <row r="389" customFormat="false" ht="21.75" hidden="false" customHeight="true" outlineLevel="0" collapsed="false">
      <c r="B389" s="4" t="s">
        <v>199</v>
      </c>
      <c r="C389" s="4" t="s">
        <v>3887</v>
      </c>
      <c r="D389" s="9" t="n">
        <v>2</v>
      </c>
      <c r="E389" s="4" t="s">
        <v>26</v>
      </c>
      <c r="F389" s="4" t="s">
        <v>244</v>
      </c>
      <c r="G389" s="5" t="s">
        <v>4239</v>
      </c>
      <c r="H389" s="4" t="s">
        <v>3892</v>
      </c>
    </row>
    <row r="390" customFormat="false" ht="21.75" hidden="false" customHeight="true" outlineLevel="0" collapsed="false">
      <c r="B390" s="6" t="s">
        <v>204</v>
      </c>
      <c r="C390" s="6" t="s">
        <v>3923</v>
      </c>
      <c r="D390" s="10" t="n">
        <v>2</v>
      </c>
      <c r="E390" s="6" t="s">
        <v>26</v>
      </c>
      <c r="F390" s="6" t="s">
        <v>389</v>
      </c>
      <c r="G390" s="7" t="s">
        <v>4239</v>
      </c>
      <c r="H390" s="6" t="s">
        <v>3928</v>
      </c>
    </row>
    <row r="391" customFormat="false" ht="21.75" hidden="false" customHeight="true" outlineLevel="0" collapsed="false">
      <c r="B391" s="4" t="s">
        <v>204</v>
      </c>
      <c r="C391" s="4" t="s">
        <v>3952</v>
      </c>
      <c r="D391" s="9" t="n">
        <v>2</v>
      </c>
      <c r="E391" s="4" t="s">
        <v>26</v>
      </c>
      <c r="F391" s="4" t="s">
        <v>260</v>
      </c>
      <c r="G391" s="5" t="s">
        <v>4239</v>
      </c>
      <c r="H391" s="4" t="s">
        <v>3957</v>
      </c>
    </row>
    <row r="392" customFormat="false" ht="21.75" hidden="false" customHeight="true" outlineLevel="0" collapsed="false">
      <c r="B392" s="6" t="s">
        <v>204</v>
      </c>
      <c r="C392" s="6" t="s">
        <v>3967</v>
      </c>
      <c r="D392" s="10" t="n">
        <v>2</v>
      </c>
      <c r="E392" s="6" t="s">
        <v>26</v>
      </c>
      <c r="F392" s="6" t="s">
        <v>234</v>
      </c>
      <c r="G392" s="7" t="s">
        <v>4239</v>
      </c>
      <c r="H392" s="6" t="s">
        <v>3972</v>
      </c>
    </row>
    <row r="393" customFormat="false" ht="21.75" hidden="false" customHeight="true" outlineLevel="0" collapsed="false">
      <c r="B393" s="4" t="s">
        <v>209</v>
      </c>
      <c r="C393" s="4" t="s">
        <v>4010</v>
      </c>
      <c r="D393" s="9" t="n">
        <v>1</v>
      </c>
      <c r="E393" s="4" t="s">
        <v>24</v>
      </c>
      <c r="F393" s="4" t="s">
        <v>291</v>
      </c>
      <c r="G393" s="5" t="s">
        <v>4239</v>
      </c>
      <c r="H393" s="4" t="s">
        <v>4015</v>
      </c>
    </row>
    <row r="394" customFormat="false" ht="21.75" hidden="false" customHeight="true" outlineLevel="0" collapsed="false">
      <c r="B394" s="6" t="s">
        <v>209</v>
      </c>
      <c r="C394" s="6" t="s">
        <v>4025</v>
      </c>
      <c r="D394" s="10" t="n">
        <v>2</v>
      </c>
      <c r="E394" s="6" t="s">
        <v>26</v>
      </c>
      <c r="F394" s="6" t="s">
        <v>260</v>
      </c>
      <c r="G394" s="7" t="s">
        <v>4239</v>
      </c>
      <c r="H394" s="6" t="s">
        <v>4030</v>
      </c>
    </row>
    <row r="395" customFormat="false" ht="21.75" hidden="false" customHeight="true" outlineLevel="0" collapsed="false">
      <c r="B395" s="4" t="s">
        <v>209</v>
      </c>
      <c r="C395" s="4" t="s">
        <v>4033</v>
      </c>
      <c r="D395" s="9" t="n">
        <v>2</v>
      </c>
      <c r="E395" s="4" t="s">
        <v>26</v>
      </c>
      <c r="F395" s="4" t="s">
        <v>234</v>
      </c>
      <c r="G395" s="5" t="s">
        <v>4239</v>
      </c>
      <c r="H395" s="4" t="s">
        <v>4038</v>
      </c>
    </row>
    <row r="396" customFormat="false" ht="21.75" hidden="false" customHeight="true" outlineLevel="0" collapsed="false">
      <c r="B396" s="6" t="s">
        <v>209</v>
      </c>
      <c r="C396" s="6" t="s">
        <v>4041</v>
      </c>
      <c r="D396" s="10" t="n">
        <v>2</v>
      </c>
      <c r="E396" s="6" t="s">
        <v>26</v>
      </c>
      <c r="F396" s="6" t="s">
        <v>244</v>
      </c>
      <c r="G396" s="7" t="s">
        <v>4239</v>
      </c>
      <c r="H396" s="6" t="s">
        <v>4046</v>
      </c>
    </row>
    <row r="397" customFormat="false" ht="21.75" hidden="false" customHeight="true" outlineLevel="0" collapsed="false">
      <c r="B397" s="4" t="s">
        <v>209</v>
      </c>
      <c r="C397" s="4" t="s">
        <v>4049</v>
      </c>
      <c r="D397" s="9" t="n">
        <v>2</v>
      </c>
      <c r="E397" s="4" t="s">
        <v>26</v>
      </c>
      <c r="F397" s="4" t="s">
        <v>291</v>
      </c>
      <c r="G397" s="5" t="s">
        <v>4239</v>
      </c>
      <c r="H397" s="4" t="s">
        <v>4054</v>
      </c>
    </row>
    <row r="398" customFormat="false" ht="21.75" hidden="false" customHeight="true" outlineLevel="0" collapsed="false">
      <c r="B398" s="6" t="s">
        <v>209</v>
      </c>
      <c r="C398" s="6" t="s">
        <v>4057</v>
      </c>
      <c r="D398" s="10" t="n">
        <v>1</v>
      </c>
      <c r="E398" s="6" t="s">
        <v>24</v>
      </c>
      <c r="F398" s="6" t="s">
        <v>389</v>
      </c>
      <c r="G398" s="7" t="s">
        <v>4239</v>
      </c>
      <c r="H398" s="6" t="s">
        <v>4062</v>
      </c>
    </row>
    <row r="399" customFormat="false" ht="21.75" hidden="false" customHeight="true" outlineLevel="0" collapsed="false">
      <c r="B399" s="4" t="s">
        <v>209</v>
      </c>
      <c r="C399" s="4" t="s">
        <v>4072</v>
      </c>
      <c r="D399" s="9" t="n">
        <v>3</v>
      </c>
      <c r="E399" s="4" t="s">
        <v>28</v>
      </c>
      <c r="F399" s="4" t="s">
        <v>291</v>
      </c>
      <c r="G399" s="5" t="s">
        <v>4239</v>
      </c>
      <c r="H399" s="4" t="s">
        <v>4077</v>
      </c>
    </row>
    <row r="400" customFormat="false" ht="21.75" hidden="false" customHeight="true" outlineLevel="0" collapsed="false">
      <c r="B400" s="6" t="s">
        <v>209</v>
      </c>
      <c r="C400" s="6" t="s">
        <v>4094</v>
      </c>
      <c r="D400" s="10" t="n">
        <v>4</v>
      </c>
      <c r="E400" s="6" t="s">
        <v>30</v>
      </c>
      <c r="F400" s="6" t="s">
        <v>244</v>
      </c>
      <c r="G400" s="7" t="s">
        <v>4239</v>
      </c>
      <c r="H400" s="6" t="s">
        <v>4099</v>
      </c>
    </row>
    <row r="401" customFormat="false" ht="21.75" hidden="false" customHeight="true" outlineLevel="0" collapsed="false">
      <c r="B401" s="4" t="s">
        <v>213</v>
      </c>
      <c r="C401" s="4" t="s">
        <v>4116</v>
      </c>
      <c r="D401" s="9" t="n">
        <v>0</v>
      </c>
      <c r="E401" s="4" t="s">
        <v>22</v>
      </c>
      <c r="F401" s="4" t="s">
        <v>335</v>
      </c>
      <c r="G401" s="5" t="s">
        <v>4239</v>
      </c>
      <c r="H401" s="4" t="s">
        <v>4121</v>
      </c>
    </row>
    <row r="402" customFormat="false" ht="21.75" hidden="false" customHeight="true" outlineLevel="0" collapsed="false">
      <c r="B402" s="6" t="s">
        <v>213</v>
      </c>
      <c r="C402" s="6" t="s">
        <v>4124</v>
      </c>
      <c r="D402" s="10" t="n">
        <v>4</v>
      </c>
      <c r="E402" s="6" t="s">
        <v>30</v>
      </c>
      <c r="F402" s="6" t="s">
        <v>389</v>
      </c>
      <c r="G402" s="7" t="s">
        <v>4239</v>
      </c>
      <c r="H402" s="6" t="s">
        <v>4129</v>
      </c>
    </row>
    <row r="403" customFormat="false" ht="21.75" hidden="false" customHeight="true" outlineLevel="0" collapsed="false">
      <c r="B403" s="4" t="s">
        <v>213</v>
      </c>
      <c r="C403" s="4" t="s">
        <v>4179</v>
      </c>
      <c r="D403" s="9" t="n">
        <v>2</v>
      </c>
      <c r="E403" s="4" t="s">
        <v>26</v>
      </c>
      <c r="F403" s="4" t="s">
        <v>291</v>
      </c>
      <c r="G403" s="5" t="s">
        <v>4239</v>
      </c>
      <c r="H403" s="4" t="s">
        <v>4184</v>
      </c>
    </row>
    <row r="404" customFormat="false" ht="21.75" hidden="false" customHeight="true" outlineLevel="0" collapsed="false">
      <c r="B404" s="6" t="s">
        <v>213</v>
      </c>
      <c r="C404" s="6" t="s">
        <v>4214</v>
      </c>
      <c r="D404" s="10" t="n">
        <v>4</v>
      </c>
      <c r="E404" s="6" t="s">
        <v>30</v>
      </c>
      <c r="F404" s="6" t="s">
        <v>335</v>
      </c>
      <c r="G404" s="7" t="s">
        <v>4239</v>
      </c>
      <c r="H404" s="6" t="s">
        <v>4219</v>
      </c>
    </row>
    <row r="405" customFormat="false" ht="21.75" hidden="false" customHeight="true" outlineLevel="0" collapsed="false">
      <c r="B405" s="4" t="s">
        <v>213</v>
      </c>
      <c r="C405" s="4" t="s">
        <v>4222</v>
      </c>
      <c r="D405" s="9" t="n">
        <v>2</v>
      </c>
      <c r="E405" s="4" t="s">
        <v>26</v>
      </c>
      <c r="F405" s="4" t="s">
        <v>260</v>
      </c>
      <c r="G405" s="5" t="s">
        <v>4239</v>
      </c>
      <c r="H405" s="4" t="s">
        <v>4227</v>
      </c>
    </row>
  </sheetData>
  <mergeCells count="1">
    <mergeCell ref="B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19"/>
    <col collapsed="false" customWidth="true" hidden="false" outlineLevel="0" max="3" min="3" style="1" width="13"/>
    <col collapsed="false" customWidth="true" hidden="false" outlineLevel="0" max="4" min="4" style="1" width="30"/>
    <col collapsed="false" customWidth="true" hidden="false" outlineLevel="0" max="5" min="5" style="1" width="70"/>
    <col collapsed="false" customWidth="true" hidden="false" outlineLevel="0" max="6" min="6" style="1" width="40"/>
  </cols>
  <sheetData>
    <row r="2" customFormat="false" ht="31.5" hidden="false" customHeight="true" outlineLevel="0" collapsed="false">
      <c r="B2" s="2" t="s">
        <v>4240</v>
      </c>
      <c r="C2" s="2"/>
      <c r="D2" s="2"/>
      <c r="E2" s="2"/>
      <c r="F2" s="2"/>
    </row>
    <row r="3" customFormat="false" ht="7.5" hidden="false" customHeight="true" outlineLevel="0" collapsed="false"/>
    <row r="4" customFormat="false" ht="27.75" hidden="false" customHeight="true" outlineLevel="0" collapsed="false">
      <c r="B4" s="3" t="s">
        <v>33</v>
      </c>
      <c r="C4" s="3" t="s">
        <v>4241</v>
      </c>
      <c r="D4" s="3" t="s">
        <v>221</v>
      </c>
      <c r="E4" s="3" t="s">
        <v>4242</v>
      </c>
      <c r="F4" s="3" t="s">
        <v>4243</v>
      </c>
    </row>
    <row r="5" customFormat="false" ht="21.75" hidden="false" customHeight="true" outlineLevel="0" collapsed="false">
      <c r="B5" s="4" t="s">
        <v>50</v>
      </c>
      <c r="C5" s="4" t="s">
        <v>4244</v>
      </c>
      <c r="D5" s="5" t="s">
        <v>4245</v>
      </c>
      <c r="E5" s="5" t="s">
        <v>4246</v>
      </c>
      <c r="F5" s="4" t="s">
        <v>4247</v>
      </c>
    </row>
    <row r="6" customFormat="false" ht="21.75" hidden="false" customHeight="true" outlineLevel="0" collapsed="false">
      <c r="B6" s="6" t="s">
        <v>50</v>
      </c>
      <c r="C6" s="6" t="s">
        <v>4248</v>
      </c>
      <c r="D6" s="7" t="s">
        <v>4249</v>
      </c>
      <c r="E6" s="7" t="s">
        <v>4250</v>
      </c>
      <c r="F6" s="6" t="s">
        <v>4251</v>
      </c>
    </row>
    <row r="7" customFormat="false" ht="21.75" hidden="false" customHeight="true" outlineLevel="0" collapsed="false">
      <c r="B7" s="4" t="s">
        <v>50</v>
      </c>
      <c r="C7" s="4" t="s">
        <v>4252</v>
      </c>
      <c r="D7" s="5" t="s">
        <v>4253</v>
      </c>
      <c r="E7" s="5" t="s">
        <v>4254</v>
      </c>
      <c r="F7" s="4" t="s">
        <v>4255</v>
      </c>
    </row>
    <row r="8" customFormat="false" ht="21.75" hidden="false" customHeight="true" outlineLevel="0" collapsed="false">
      <c r="B8" s="6" t="s">
        <v>50</v>
      </c>
      <c r="C8" s="6" t="s">
        <v>4256</v>
      </c>
      <c r="D8" s="7" t="s">
        <v>4257</v>
      </c>
      <c r="E8" s="7" t="s">
        <v>4258</v>
      </c>
      <c r="F8" s="6" t="s">
        <v>4259</v>
      </c>
    </row>
    <row r="9" customFormat="false" ht="21.75" hidden="false" customHeight="true" outlineLevel="0" collapsed="false">
      <c r="B9" s="4" t="s">
        <v>56</v>
      </c>
      <c r="C9" s="4" t="s">
        <v>4260</v>
      </c>
      <c r="D9" s="5" t="s">
        <v>4261</v>
      </c>
      <c r="E9" s="5" t="s">
        <v>4262</v>
      </c>
      <c r="F9" s="4" t="s">
        <v>4263</v>
      </c>
    </row>
    <row r="10" customFormat="false" ht="21.75" hidden="false" customHeight="true" outlineLevel="0" collapsed="false">
      <c r="B10" s="6" t="s">
        <v>56</v>
      </c>
      <c r="C10" s="6" t="s">
        <v>4264</v>
      </c>
      <c r="D10" s="7" t="s">
        <v>4265</v>
      </c>
      <c r="E10" s="7" t="s">
        <v>4266</v>
      </c>
      <c r="F10" s="6" t="s">
        <v>4267</v>
      </c>
    </row>
    <row r="11" customFormat="false" ht="21.75" hidden="false" customHeight="true" outlineLevel="0" collapsed="false">
      <c r="B11" s="4" t="s">
        <v>56</v>
      </c>
      <c r="C11" s="4" t="s">
        <v>4268</v>
      </c>
      <c r="D11" s="5" t="s">
        <v>4269</v>
      </c>
      <c r="E11" s="5" t="s">
        <v>4270</v>
      </c>
      <c r="F11" s="4" t="s">
        <v>4271</v>
      </c>
    </row>
    <row r="12" customFormat="false" ht="21.75" hidden="false" customHeight="true" outlineLevel="0" collapsed="false">
      <c r="B12" s="6" t="s">
        <v>56</v>
      </c>
      <c r="C12" s="6" t="s">
        <v>4272</v>
      </c>
      <c r="D12" s="7" t="s">
        <v>4273</v>
      </c>
      <c r="E12" s="7" t="s">
        <v>4274</v>
      </c>
      <c r="F12" s="6" t="s">
        <v>4275</v>
      </c>
    </row>
    <row r="13" customFormat="false" ht="21.75" hidden="false" customHeight="true" outlineLevel="0" collapsed="false">
      <c r="B13" s="4" t="s">
        <v>62</v>
      </c>
      <c r="C13" s="4" t="s">
        <v>4276</v>
      </c>
      <c r="D13" s="5" t="s">
        <v>4277</v>
      </c>
      <c r="E13" s="5" t="s">
        <v>4278</v>
      </c>
      <c r="F13" s="4" t="s">
        <v>4279</v>
      </c>
    </row>
    <row r="14" customFormat="false" ht="21.75" hidden="false" customHeight="true" outlineLevel="0" collapsed="false">
      <c r="B14" s="6" t="s">
        <v>62</v>
      </c>
      <c r="C14" s="6" t="s">
        <v>4280</v>
      </c>
      <c r="D14" s="7" t="s">
        <v>4281</v>
      </c>
      <c r="E14" s="7" t="s">
        <v>4282</v>
      </c>
      <c r="F14" s="6" t="s">
        <v>4283</v>
      </c>
    </row>
    <row r="15" customFormat="false" ht="21.75" hidden="false" customHeight="true" outlineLevel="0" collapsed="false">
      <c r="B15" s="4" t="s">
        <v>62</v>
      </c>
      <c r="C15" s="4" t="s">
        <v>4284</v>
      </c>
      <c r="D15" s="5" t="s">
        <v>4285</v>
      </c>
      <c r="E15" s="5" t="s">
        <v>4286</v>
      </c>
      <c r="F15" s="4" t="s">
        <v>4287</v>
      </c>
    </row>
    <row r="16" customFormat="false" ht="21.75" hidden="false" customHeight="true" outlineLevel="0" collapsed="false">
      <c r="B16" s="6" t="s">
        <v>62</v>
      </c>
      <c r="C16" s="6" t="s">
        <v>4288</v>
      </c>
      <c r="D16" s="7" t="s">
        <v>4289</v>
      </c>
      <c r="E16" s="7" t="s">
        <v>4290</v>
      </c>
      <c r="F16" s="6" t="s">
        <v>4291</v>
      </c>
    </row>
    <row r="17" customFormat="false" ht="21.75" hidden="false" customHeight="true" outlineLevel="0" collapsed="false">
      <c r="B17" s="4" t="s">
        <v>62</v>
      </c>
      <c r="C17" s="4" t="s">
        <v>4292</v>
      </c>
      <c r="D17" s="5" t="s">
        <v>4293</v>
      </c>
      <c r="E17" s="5" t="s">
        <v>4294</v>
      </c>
      <c r="F17" s="4" t="s">
        <v>4295</v>
      </c>
    </row>
    <row r="18" customFormat="false" ht="21.75" hidden="false" customHeight="true" outlineLevel="0" collapsed="false">
      <c r="B18" s="6" t="s">
        <v>68</v>
      </c>
      <c r="C18" s="6" t="s">
        <v>4296</v>
      </c>
      <c r="D18" s="7" t="s">
        <v>4297</v>
      </c>
      <c r="E18" s="7" t="s">
        <v>4298</v>
      </c>
      <c r="F18" s="6" t="s">
        <v>4299</v>
      </c>
    </row>
    <row r="19" customFormat="false" ht="21.75" hidden="false" customHeight="true" outlineLevel="0" collapsed="false">
      <c r="B19" s="4" t="s">
        <v>68</v>
      </c>
      <c r="C19" s="4" t="s">
        <v>4300</v>
      </c>
      <c r="D19" s="5" t="s">
        <v>4301</v>
      </c>
      <c r="E19" s="5" t="s">
        <v>4302</v>
      </c>
      <c r="F19" s="4" t="s">
        <v>4303</v>
      </c>
    </row>
    <row r="20" customFormat="false" ht="21.75" hidden="false" customHeight="true" outlineLevel="0" collapsed="false">
      <c r="B20" s="6" t="s">
        <v>68</v>
      </c>
      <c r="C20" s="6" t="s">
        <v>4304</v>
      </c>
      <c r="D20" s="7" t="s">
        <v>4305</v>
      </c>
      <c r="E20" s="7" t="s">
        <v>4306</v>
      </c>
      <c r="F20" s="6" t="s">
        <v>4307</v>
      </c>
    </row>
    <row r="21" customFormat="false" ht="21.75" hidden="false" customHeight="true" outlineLevel="0" collapsed="false">
      <c r="B21" s="4" t="s">
        <v>68</v>
      </c>
      <c r="C21" s="4" t="s">
        <v>4308</v>
      </c>
      <c r="D21" s="5" t="s">
        <v>4309</v>
      </c>
      <c r="E21" s="5" t="s">
        <v>4310</v>
      </c>
      <c r="F21" s="4" t="s">
        <v>4311</v>
      </c>
    </row>
    <row r="22" customFormat="false" ht="21.75" hidden="false" customHeight="true" outlineLevel="0" collapsed="false">
      <c r="B22" s="6" t="s">
        <v>68</v>
      </c>
      <c r="C22" s="6" t="s">
        <v>4312</v>
      </c>
      <c r="D22" s="7" t="s">
        <v>4313</v>
      </c>
      <c r="E22" s="7" t="s">
        <v>4314</v>
      </c>
      <c r="F22" s="6" t="s">
        <v>4315</v>
      </c>
    </row>
    <row r="23" customFormat="false" ht="21.75" hidden="false" customHeight="true" outlineLevel="0" collapsed="false">
      <c r="B23" s="4" t="s">
        <v>74</v>
      </c>
      <c r="C23" s="4" t="s">
        <v>4316</v>
      </c>
      <c r="D23" s="5" t="s">
        <v>4317</v>
      </c>
      <c r="E23" s="5" t="s">
        <v>4318</v>
      </c>
      <c r="F23" s="4" t="s">
        <v>4319</v>
      </c>
    </row>
    <row r="24" customFormat="false" ht="21.75" hidden="false" customHeight="true" outlineLevel="0" collapsed="false">
      <c r="B24" s="6" t="s">
        <v>74</v>
      </c>
      <c r="C24" s="6" t="s">
        <v>4320</v>
      </c>
      <c r="D24" s="7" t="s">
        <v>4321</v>
      </c>
      <c r="E24" s="7" t="s">
        <v>4322</v>
      </c>
      <c r="F24" s="6" t="s">
        <v>4323</v>
      </c>
    </row>
    <row r="25" customFormat="false" ht="21.75" hidden="false" customHeight="true" outlineLevel="0" collapsed="false">
      <c r="B25" s="4" t="s">
        <v>74</v>
      </c>
      <c r="C25" s="4" t="s">
        <v>4324</v>
      </c>
      <c r="D25" s="5" t="s">
        <v>4325</v>
      </c>
      <c r="E25" s="5" t="s">
        <v>4326</v>
      </c>
      <c r="F25" s="4" t="s">
        <v>4327</v>
      </c>
    </row>
    <row r="26" customFormat="false" ht="21.75" hidden="false" customHeight="true" outlineLevel="0" collapsed="false">
      <c r="B26" s="6" t="s">
        <v>74</v>
      </c>
      <c r="C26" s="6" t="s">
        <v>4328</v>
      </c>
      <c r="D26" s="7" t="s">
        <v>4329</v>
      </c>
      <c r="E26" s="7" t="s">
        <v>4330</v>
      </c>
      <c r="F26" s="6" t="s">
        <v>4331</v>
      </c>
    </row>
    <row r="27" customFormat="false" ht="21.75" hidden="false" customHeight="true" outlineLevel="0" collapsed="false">
      <c r="B27" s="4" t="s">
        <v>81</v>
      </c>
      <c r="C27" s="4" t="s">
        <v>4332</v>
      </c>
      <c r="D27" s="5" t="s">
        <v>4333</v>
      </c>
      <c r="E27" s="5" t="s">
        <v>4334</v>
      </c>
      <c r="F27" s="4" t="s">
        <v>4335</v>
      </c>
    </row>
    <row r="28" customFormat="false" ht="21.75" hidden="false" customHeight="true" outlineLevel="0" collapsed="false">
      <c r="B28" s="6" t="s">
        <v>81</v>
      </c>
      <c r="C28" s="6" t="s">
        <v>4336</v>
      </c>
      <c r="D28" s="7" t="s">
        <v>4337</v>
      </c>
      <c r="E28" s="7" t="s">
        <v>4338</v>
      </c>
      <c r="F28" s="6" t="s">
        <v>4339</v>
      </c>
    </row>
    <row r="29" customFormat="false" ht="21.75" hidden="false" customHeight="true" outlineLevel="0" collapsed="false">
      <c r="B29" s="4" t="s">
        <v>81</v>
      </c>
      <c r="C29" s="4" t="s">
        <v>4340</v>
      </c>
      <c r="D29" s="5" t="s">
        <v>4341</v>
      </c>
      <c r="E29" s="5" t="s">
        <v>4342</v>
      </c>
      <c r="F29" s="4" t="s">
        <v>4343</v>
      </c>
    </row>
    <row r="30" customFormat="false" ht="21.75" hidden="false" customHeight="true" outlineLevel="0" collapsed="false">
      <c r="B30" s="6" t="s">
        <v>81</v>
      </c>
      <c r="C30" s="6" t="s">
        <v>4344</v>
      </c>
      <c r="D30" s="7" t="s">
        <v>4345</v>
      </c>
      <c r="E30" s="7" t="s">
        <v>4346</v>
      </c>
      <c r="F30" s="6" t="s">
        <v>4347</v>
      </c>
    </row>
    <row r="31" customFormat="false" ht="21.75" hidden="false" customHeight="true" outlineLevel="0" collapsed="false">
      <c r="B31" s="4" t="s">
        <v>81</v>
      </c>
      <c r="C31" s="4" t="s">
        <v>4348</v>
      </c>
      <c r="D31" s="5" t="s">
        <v>4349</v>
      </c>
      <c r="E31" s="5" t="s">
        <v>4350</v>
      </c>
      <c r="F31" s="4" t="s">
        <v>4351</v>
      </c>
    </row>
    <row r="32" customFormat="false" ht="21.75" hidden="false" customHeight="true" outlineLevel="0" collapsed="false">
      <c r="B32" s="6" t="s">
        <v>87</v>
      </c>
      <c r="C32" s="6" t="s">
        <v>4352</v>
      </c>
      <c r="D32" s="7" t="s">
        <v>4353</v>
      </c>
      <c r="E32" s="7" t="s">
        <v>4354</v>
      </c>
      <c r="F32" s="6" t="s">
        <v>4355</v>
      </c>
    </row>
    <row r="33" customFormat="false" ht="21.75" hidden="false" customHeight="true" outlineLevel="0" collapsed="false">
      <c r="B33" s="4" t="s">
        <v>87</v>
      </c>
      <c r="C33" s="4" t="s">
        <v>4356</v>
      </c>
      <c r="D33" s="5" t="s">
        <v>4357</v>
      </c>
      <c r="E33" s="5" t="s">
        <v>4358</v>
      </c>
      <c r="F33" s="4" t="s">
        <v>4359</v>
      </c>
    </row>
    <row r="34" customFormat="false" ht="21.75" hidden="false" customHeight="true" outlineLevel="0" collapsed="false">
      <c r="B34" s="6" t="s">
        <v>87</v>
      </c>
      <c r="C34" s="6" t="s">
        <v>4360</v>
      </c>
      <c r="D34" s="7" t="s">
        <v>4361</v>
      </c>
      <c r="E34" s="7" t="s">
        <v>4362</v>
      </c>
      <c r="F34" s="6" t="s">
        <v>4363</v>
      </c>
    </row>
    <row r="35" customFormat="false" ht="21.75" hidden="false" customHeight="true" outlineLevel="0" collapsed="false">
      <c r="B35" s="4" t="s">
        <v>87</v>
      </c>
      <c r="C35" s="4" t="s">
        <v>4364</v>
      </c>
      <c r="D35" s="5" t="s">
        <v>4365</v>
      </c>
      <c r="E35" s="5" t="s">
        <v>4366</v>
      </c>
      <c r="F35" s="4" t="s">
        <v>4367</v>
      </c>
    </row>
    <row r="36" customFormat="false" ht="21.75" hidden="false" customHeight="true" outlineLevel="0" collapsed="false">
      <c r="B36" s="6" t="s">
        <v>87</v>
      </c>
      <c r="C36" s="6" t="s">
        <v>4368</v>
      </c>
      <c r="D36" s="7" t="s">
        <v>4369</v>
      </c>
      <c r="E36" s="7" t="s">
        <v>4370</v>
      </c>
      <c r="F36" s="6" t="s">
        <v>4371</v>
      </c>
    </row>
    <row r="37" customFormat="false" ht="21.75" hidden="false" customHeight="true" outlineLevel="0" collapsed="false">
      <c r="B37" s="4" t="s">
        <v>93</v>
      </c>
      <c r="C37" s="4" t="s">
        <v>4372</v>
      </c>
      <c r="D37" s="5" t="s">
        <v>4373</v>
      </c>
      <c r="E37" s="5" t="s">
        <v>4374</v>
      </c>
      <c r="F37" s="4" t="s">
        <v>4375</v>
      </c>
    </row>
    <row r="38" customFormat="false" ht="21.75" hidden="false" customHeight="true" outlineLevel="0" collapsed="false">
      <c r="B38" s="6" t="s">
        <v>93</v>
      </c>
      <c r="C38" s="6" t="s">
        <v>4376</v>
      </c>
      <c r="D38" s="7" t="s">
        <v>4377</v>
      </c>
      <c r="E38" s="7" t="s">
        <v>4378</v>
      </c>
      <c r="F38" s="6" t="s">
        <v>4379</v>
      </c>
    </row>
    <row r="39" customFormat="false" ht="21.75" hidden="false" customHeight="true" outlineLevel="0" collapsed="false">
      <c r="B39" s="4" t="s">
        <v>93</v>
      </c>
      <c r="C39" s="4" t="s">
        <v>4380</v>
      </c>
      <c r="D39" s="5" t="s">
        <v>4381</v>
      </c>
      <c r="E39" s="5" t="s">
        <v>4382</v>
      </c>
      <c r="F39" s="4" t="s">
        <v>4383</v>
      </c>
    </row>
    <row r="40" customFormat="false" ht="21.75" hidden="false" customHeight="true" outlineLevel="0" collapsed="false">
      <c r="B40" s="6" t="s">
        <v>93</v>
      </c>
      <c r="C40" s="6" t="s">
        <v>4384</v>
      </c>
      <c r="D40" s="7" t="s">
        <v>4385</v>
      </c>
      <c r="E40" s="7" t="s">
        <v>4386</v>
      </c>
      <c r="F40" s="6" t="s">
        <v>4387</v>
      </c>
    </row>
    <row r="41" customFormat="false" ht="21.75" hidden="false" customHeight="true" outlineLevel="0" collapsed="false">
      <c r="B41" s="4" t="s">
        <v>99</v>
      </c>
      <c r="C41" s="4" t="s">
        <v>4388</v>
      </c>
      <c r="D41" s="5" t="s">
        <v>4389</v>
      </c>
      <c r="E41" s="5" t="s">
        <v>4390</v>
      </c>
      <c r="F41" s="4" t="s">
        <v>4391</v>
      </c>
    </row>
    <row r="42" customFormat="false" ht="21.75" hidden="false" customHeight="true" outlineLevel="0" collapsed="false">
      <c r="B42" s="6" t="s">
        <v>99</v>
      </c>
      <c r="C42" s="6" t="s">
        <v>4392</v>
      </c>
      <c r="D42" s="7" t="s">
        <v>4393</v>
      </c>
      <c r="E42" s="7" t="s">
        <v>4394</v>
      </c>
      <c r="F42" s="6" t="s">
        <v>4395</v>
      </c>
    </row>
    <row r="43" customFormat="false" ht="21.75" hidden="false" customHeight="true" outlineLevel="0" collapsed="false">
      <c r="B43" s="4" t="s">
        <v>99</v>
      </c>
      <c r="C43" s="4" t="s">
        <v>4396</v>
      </c>
      <c r="D43" s="5" t="s">
        <v>4397</v>
      </c>
      <c r="E43" s="5" t="s">
        <v>4398</v>
      </c>
      <c r="F43" s="4" t="s">
        <v>4399</v>
      </c>
    </row>
    <row r="44" customFormat="false" ht="21.75" hidden="false" customHeight="true" outlineLevel="0" collapsed="false">
      <c r="B44" s="6" t="s">
        <v>99</v>
      </c>
      <c r="C44" s="6" t="s">
        <v>4400</v>
      </c>
      <c r="D44" s="7" t="s">
        <v>4401</v>
      </c>
      <c r="E44" s="7" t="s">
        <v>4402</v>
      </c>
      <c r="F44" s="6" t="s">
        <v>4403</v>
      </c>
    </row>
    <row r="45" customFormat="false" ht="21.75" hidden="false" customHeight="true" outlineLevel="0" collapsed="false">
      <c r="B45" s="4" t="s">
        <v>99</v>
      </c>
      <c r="C45" s="4" t="s">
        <v>4404</v>
      </c>
      <c r="D45" s="5" t="s">
        <v>4405</v>
      </c>
      <c r="E45" s="5" t="s">
        <v>4406</v>
      </c>
      <c r="F45" s="4" t="s">
        <v>4407</v>
      </c>
    </row>
    <row r="46" customFormat="false" ht="21.75" hidden="false" customHeight="true" outlineLevel="0" collapsed="false">
      <c r="B46" s="6" t="s">
        <v>106</v>
      </c>
      <c r="C46" s="6" t="s">
        <v>4408</v>
      </c>
      <c r="D46" s="7" t="s">
        <v>4409</v>
      </c>
      <c r="E46" s="7" t="s">
        <v>4410</v>
      </c>
      <c r="F46" s="6" t="s">
        <v>4411</v>
      </c>
    </row>
    <row r="47" customFormat="false" ht="21.75" hidden="false" customHeight="true" outlineLevel="0" collapsed="false">
      <c r="B47" s="4" t="s">
        <v>106</v>
      </c>
      <c r="C47" s="4" t="s">
        <v>4412</v>
      </c>
      <c r="D47" s="5" t="s">
        <v>4413</v>
      </c>
      <c r="E47" s="5" t="s">
        <v>4414</v>
      </c>
      <c r="F47" s="4" t="s">
        <v>4415</v>
      </c>
    </row>
    <row r="48" customFormat="false" ht="21.75" hidden="false" customHeight="true" outlineLevel="0" collapsed="false">
      <c r="B48" s="6" t="s">
        <v>106</v>
      </c>
      <c r="C48" s="6" t="s">
        <v>4416</v>
      </c>
      <c r="D48" s="7" t="s">
        <v>4417</v>
      </c>
      <c r="E48" s="7" t="s">
        <v>4418</v>
      </c>
      <c r="F48" s="6" t="s">
        <v>4419</v>
      </c>
    </row>
    <row r="49" customFormat="false" ht="21.75" hidden="false" customHeight="true" outlineLevel="0" collapsed="false">
      <c r="B49" s="4" t="s">
        <v>106</v>
      </c>
      <c r="C49" s="4" t="s">
        <v>4420</v>
      </c>
      <c r="D49" s="5" t="s">
        <v>4421</v>
      </c>
      <c r="E49" s="5" t="s">
        <v>4422</v>
      </c>
      <c r="F49" s="4" t="s">
        <v>4423</v>
      </c>
    </row>
    <row r="50" customFormat="false" ht="21.75" hidden="false" customHeight="true" outlineLevel="0" collapsed="false">
      <c r="B50" s="6" t="s">
        <v>106</v>
      </c>
      <c r="C50" s="6" t="s">
        <v>4424</v>
      </c>
      <c r="D50" s="7" t="s">
        <v>4425</v>
      </c>
      <c r="E50" s="7" t="s">
        <v>4426</v>
      </c>
      <c r="F50" s="6" t="s">
        <v>4427</v>
      </c>
    </row>
    <row r="51" customFormat="false" ht="21.75" hidden="false" customHeight="true" outlineLevel="0" collapsed="false">
      <c r="B51" s="4" t="s">
        <v>112</v>
      </c>
      <c r="C51" s="4" t="s">
        <v>4428</v>
      </c>
      <c r="D51" s="5" t="s">
        <v>4429</v>
      </c>
      <c r="E51" s="5" t="s">
        <v>4430</v>
      </c>
      <c r="F51" s="4" t="s">
        <v>4431</v>
      </c>
    </row>
    <row r="52" customFormat="false" ht="21.75" hidden="false" customHeight="true" outlineLevel="0" collapsed="false">
      <c r="B52" s="6" t="s">
        <v>112</v>
      </c>
      <c r="C52" s="6" t="s">
        <v>4432</v>
      </c>
      <c r="D52" s="7" t="s">
        <v>4433</v>
      </c>
      <c r="E52" s="7" t="s">
        <v>4434</v>
      </c>
      <c r="F52" s="6" t="s">
        <v>4435</v>
      </c>
    </row>
    <row r="53" customFormat="false" ht="21.75" hidden="false" customHeight="true" outlineLevel="0" collapsed="false">
      <c r="B53" s="4" t="s">
        <v>112</v>
      </c>
      <c r="C53" s="4" t="s">
        <v>4436</v>
      </c>
      <c r="D53" s="5" t="s">
        <v>4437</v>
      </c>
      <c r="E53" s="5" t="s">
        <v>4438</v>
      </c>
      <c r="F53" s="4" t="s">
        <v>4439</v>
      </c>
    </row>
    <row r="54" customFormat="false" ht="21.75" hidden="false" customHeight="true" outlineLevel="0" collapsed="false">
      <c r="B54" s="6" t="s">
        <v>112</v>
      </c>
      <c r="C54" s="6" t="s">
        <v>4440</v>
      </c>
      <c r="D54" s="7" t="s">
        <v>4441</v>
      </c>
      <c r="E54" s="7" t="s">
        <v>4442</v>
      </c>
      <c r="F54" s="6" t="s">
        <v>4443</v>
      </c>
    </row>
    <row r="55" customFormat="false" ht="21.75" hidden="false" customHeight="true" outlineLevel="0" collapsed="false">
      <c r="B55" s="4" t="s">
        <v>112</v>
      </c>
      <c r="C55" s="4" t="s">
        <v>4444</v>
      </c>
      <c r="D55" s="5" t="s">
        <v>4445</v>
      </c>
      <c r="E55" s="5" t="s">
        <v>4446</v>
      </c>
      <c r="F55" s="4" t="s">
        <v>4447</v>
      </c>
    </row>
    <row r="56" customFormat="false" ht="21.75" hidden="false" customHeight="true" outlineLevel="0" collapsed="false">
      <c r="B56" s="6" t="s">
        <v>118</v>
      </c>
      <c r="C56" s="6" t="s">
        <v>4448</v>
      </c>
      <c r="D56" s="7" t="s">
        <v>4449</v>
      </c>
      <c r="E56" s="7" t="s">
        <v>4450</v>
      </c>
      <c r="F56" s="6" t="s">
        <v>4451</v>
      </c>
    </row>
    <row r="57" customFormat="false" ht="21.75" hidden="false" customHeight="true" outlineLevel="0" collapsed="false">
      <c r="B57" s="4" t="s">
        <v>118</v>
      </c>
      <c r="C57" s="4" t="s">
        <v>4452</v>
      </c>
      <c r="D57" s="5" t="s">
        <v>4453</v>
      </c>
      <c r="E57" s="5" t="s">
        <v>4454</v>
      </c>
      <c r="F57" s="4" t="s">
        <v>4455</v>
      </c>
    </row>
    <row r="58" customFormat="false" ht="21.75" hidden="false" customHeight="true" outlineLevel="0" collapsed="false">
      <c r="B58" s="6" t="s">
        <v>118</v>
      </c>
      <c r="C58" s="6" t="s">
        <v>4456</v>
      </c>
      <c r="D58" s="7" t="s">
        <v>4457</v>
      </c>
      <c r="E58" s="7" t="s">
        <v>4458</v>
      </c>
      <c r="F58" s="6" t="s">
        <v>4459</v>
      </c>
    </row>
    <row r="59" customFormat="false" ht="21.75" hidden="false" customHeight="true" outlineLevel="0" collapsed="false">
      <c r="B59" s="4" t="s">
        <v>118</v>
      </c>
      <c r="C59" s="4" t="s">
        <v>4460</v>
      </c>
      <c r="D59" s="5" t="s">
        <v>4461</v>
      </c>
      <c r="E59" s="5" t="s">
        <v>4462</v>
      </c>
      <c r="F59" s="4" t="s">
        <v>4463</v>
      </c>
    </row>
    <row r="60" customFormat="false" ht="21.75" hidden="false" customHeight="true" outlineLevel="0" collapsed="false">
      <c r="B60" s="6" t="s">
        <v>125</v>
      </c>
      <c r="C60" s="6" t="s">
        <v>4464</v>
      </c>
      <c r="D60" s="7" t="s">
        <v>4465</v>
      </c>
      <c r="E60" s="7" t="s">
        <v>4466</v>
      </c>
      <c r="F60" s="6" t="s">
        <v>4467</v>
      </c>
    </row>
    <row r="61" customFormat="false" ht="21.75" hidden="false" customHeight="true" outlineLevel="0" collapsed="false">
      <c r="B61" s="4" t="s">
        <v>125</v>
      </c>
      <c r="C61" s="4" t="s">
        <v>4468</v>
      </c>
      <c r="D61" s="5" t="s">
        <v>4469</v>
      </c>
      <c r="E61" s="5" t="s">
        <v>4470</v>
      </c>
      <c r="F61" s="4" t="s">
        <v>4471</v>
      </c>
    </row>
    <row r="62" customFormat="false" ht="21.75" hidden="false" customHeight="true" outlineLevel="0" collapsed="false">
      <c r="B62" s="6" t="s">
        <v>125</v>
      </c>
      <c r="C62" s="6" t="s">
        <v>4472</v>
      </c>
      <c r="D62" s="7" t="s">
        <v>4473</v>
      </c>
      <c r="E62" s="7" t="s">
        <v>4474</v>
      </c>
      <c r="F62" s="6" t="s">
        <v>4475</v>
      </c>
    </row>
    <row r="63" customFormat="false" ht="21.75" hidden="false" customHeight="true" outlineLevel="0" collapsed="false">
      <c r="B63" s="4" t="s">
        <v>125</v>
      </c>
      <c r="C63" s="4" t="s">
        <v>4476</v>
      </c>
      <c r="D63" s="5" t="s">
        <v>4477</v>
      </c>
      <c r="E63" s="5" t="s">
        <v>4478</v>
      </c>
      <c r="F63" s="4" t="s">
        <v>4479</v>
      </c>
    </row>
    <row r="64" customFormat="false" ht="21.75" hidden="false" customHeight="true" outlineLevel="0" collapsed="false">
      <c r="B64" s="6" t="s">
        <v>125</v>
      </c>
      <c r="C64" s="6" t="s">
        <v>4480</v>
      </c>
      <c r="D64" s="7" t="s">
        <v>4481</v>
      </c>
      <c r="E64" s="7" t="s">
        <v>4482</v>
      </c>
      <c r="F64" s="6" t="s">
        <v>4483</v>
      </c>
    </row>
    <row r="65" customFormat="false" ht="21.75" hidden="false" customHeight="true" outlineLevel="0" collapsed="false">
      <c r="B65" s="4" t="s">
        <v>131</v>
      </c>
      <c r="C65" s="4" t="s">
        <v>4484</v>
      </c>
      <c r="D65" s="5" t="s">
        <v>4485</v>
      </c>
      <c r="E65" s="5" t="s">
        <v>4486</v>
      </c>
      <c r="F65" s="4" t="s">
        <v>4487</v>
      </c>
    </row>
    <row r="66" customFormat="false" ht="21.75" hidden="false" customHeight="true" outlineLevel="0" collapsed="false">
      <c r="B66" s="6" t="s">
        <v>131</v>
      </c>
      <c r="C66" s="6" t="s">
        <v>4488</v>
      </c>
      <c r="D66" s="7" t="s">
        <v>4489</v>
      </c>
      <c r="E66" s="7" t="s">
        <v>4490</v>
      </c>
      <c r="F66" s="6" t="s">
        <v>4491</v>
      </c>
    </row>
    <row r="67" customFormat="false" ht="21.75" hidden="false" customHeight="true" outlineLevel="0" collapsed="false">
      <c r="B67" s="4" t="s">
        <v>131</v>
      </c>
      <c r="C67" s="4" t="s">
        <v>4492</v>
      </c>
      <c r="D67" s="5" t="s">
        <v>4493</v>
      </c>
      <c r="E67" s="5" t="s">
        <v>4494</v>
      </c>
      <c r="F67" s="4" t="s">
        <v>4495</v>
      </c>
    </row>
    <row r="68" customFormat="false" ht="21.75" hidden="false" customHeight="true" outlineLevel="0" collapsed="false">
      <c r="B68" s="6" t="s">
        <v>131</v>
      </c>
      <c r="C68" s="6" t="s">
        <v>4496</v>
      </c>
      <c r="D68" s="7" t="s">
        <v>4497</v>
      </c>
      <c r="E68" s="7" t="s">
        <v>4498</v>
      </c>
      <c r="F68" s="6" t="s">
        <v>4499</v>
      </c>
    </row>
    <row r="69" customFormat="false" ht="21.75" hidden="false" customHeight="true" outlineLevel="0" collapsed="false">
      <c r="B69" s="4" t="s">
        <v>137</v>
      </c>
      <c r="C69" s="4" t="s">
        <v>4500</v>
      </c>
      <c r="D69" s="5" t="s">
        <v>4501</v>
      </c>
      <c r="E69" s="5" t="s">
        <v>4502</v>
      </c>
      <c r="F69" s="4" t="s">
        <v>4503</v>
      </c>
    </row>
    <row r="70" customFormat="false" ht="21.75" hidden="false" customHeight="true" outlineLevel="0" collapsed="false">
      <c r="B70" s="6" t="s">
        <v>137</v>
      </c>
      <c r="C70" s="6" t="s">
        <v>4504</v>
      </c>
      <c r="D70" s="7" t="s">
        <v>4505</v>
      </c>
      <c r="E70" s="7" t="s">
        <v>4506</v>
      </c>
      <c r="F70" s="6" t="s">
        <v>4507</v>
      </c>
    </row>
    <row r="71" customFormat="false" ht="21.75" hidden="false" customHeight="true" outlineLevel="0" collapsed="false">
      <c r="B71" s="4" t="s">
        <v>137</v>
      </c>
      <c r="C71" s="4" t="s">
        <v>4508</v>
      </c>
      <c r="D71" s="5" t="s">
        <v>4509</v>
      </c>
      <c r="E71" s="5" t="s">
        <v>4510</v>
      </c>
      <c r="F71" s="4" t="s">
        <v>4511</v>
      </c>
    </row>
    <row r="72" customFormat="false" ht="21.75" hidden="false" customHeight="true" outlineLevel="0" collapsed="false">
      <c r="B72" s="6" t="s">
        <v>137</v>
      </c>
      <c r="C72" s="6" t="s">
        <v>4512</v>
      </c>
      <c r="D72" s="7" t="s">
        <v>4513</v>
      </c>
      <c r="E72" s="7" t="s">
        <v>4514</v>
      </c>
      <c r="F72" s="6" t="s">
        <v>4515</v>
      </c>
    </row>
    <row r="73" customFormat="false" ht="21.75" hidden="false" customHeight="true" outlineLevel="0" collapsed="false">
      <c r="B73" s="4" t="s">
        <v>143</v>
      </c>
      <c r="C73" s="4" t="s">
        <v>4516</v>
      </c>
      <c r="D73" s="5" t="s">
        <v>4517</v>
      </c>
      <c r="E73" s="5" t="s">
        <v>4518</v>
      </c>
      <c r="F73" s="4" t="s">
        <v>4519</v>
      </c>
    </row>
    <row r="74" customFormat="false" ht="21.75" hidden="false" customHeight="true" outlineLevel="0" collapsed="false">
      <c r="B74" s="6" t="s">
        <v>143</v>
      </c>
      <c r="C74" s="6" t="s">
        <v>4520</v>
      </c>
      <c r="D74" s="7" t="s">
        <v>4521</v>
      </c>
      <c r="E74" s="7" t="s">
        <v>4522</v>
      </c>
      <c r="F74" s="6" t="s">
        <v>4523</v>
      </c>
    </row>
    <row r="75" customFormat="false" ht="21.75" hidden="false" customHeight="true" outlineLevel="0" collapsed="false">
      <c r="B75" s="4" t="s">
        <v>143</v>
      </c>
      <c r="C75" s="4" t="s">
        <v>4524</v>
      </c>
      <c r="D75" s="5" t="s">
        <v>4525</v>
      </c>
      <c r="E75" s="5" t="s">
        <v>4526</v>
      </c>
      <c r="F75" s="4" t="s">
        <v>4527</v>
      </c>
    </row>
    <row r="76" customFormat="false" ht="21.75" hidden="false" customHeight="true" outlineLevel="0" collapsed="false">
      <c r="B76" s="6" t="s">
        <v>143</v>
      </c>
      <c r="C76" s="6" t="s">
        <v>4528</v>
      </c>
      <c r="D76" s="7" t="s">
        <v>4529</v>
      </c>
      <c r="E76" s="7" t="s">
        <v>4530</v>
      </c>
      <c r="F76" s="6" t="s">
        <v>4531</v>
      </c>
    </row>
    <row r="77" customFormat="false" ht="21.75" hidden="false" customHeight="true" outlineLevel="0" collapsed="false">
      <c r="B77" s="4" t="s">
        <v>143</v>
      </c>
      <c r="C77" s="4" t="s">
        <v>4532</v>
      </c>
      <c r="D77" s="5" t="s">
        <v>4533</v>
      </c>
      <c r="E77" s="5" t="s">
        <v>4534</v>
      </c>
      <c r="F77" s="4" t="s">
        <v>4535</v>
      </c>
    </row>
    <row r="78" customFormat="false" ht="21.75" hidden="false" customHeight="true" outlineLevel="0" collapsed="false">
      <c r="B78" s="6" t="s">
        <v>150</v>
      </c>
      <c r="C78" s="6" t="s">
        <v>4536</v>
      </c>
      <c r="D78" s="7" t="s">
        <v>4537</v>
      </c>
      <c r="E78" s="7" t="s">
        <v>4538</v>
      </c>
      <c r="F78" s="6" t="s">
        <v>4539</v>
      </c>
    </row>
    <row r="79" customFormat="false" ht="21.75" hidden="false" customHeight="true" outlineLevel="0" collapsed="false">
      <c r="B79" s="4" t="s">
        <v>150</v>
      </c>
      <c r="C79" s="4" t="s">
        <v>4540</v>
      </c>
      <c r="D79" s="5" t="s">
        <v>4541</v>
      </c>
      <c r="E79" s="5" t="s">
        <v>4542</v>
      </c>
      <c r="F79" s="4" t="s">
        <v>4543</v>
      </c>
    </row>
    <row r="80" customFormat="false" ht="21.75" hidden="false" customHeight="true" outlineLevel="0" collapsed="false">
      <c r="B80" s="6" t="s">
        <v>150</v>
      </c>
      <c r="C80" s="6" t="s">
        <v>4544</v>
      </c>
      <c r="D80" s="7" t="s">
        <v>4545</v>
      </c>
      <c r="E80" s="7" t="s">
        <v>4546</v>
      </c>
      <c r="F80" s="6" t="s">
        <v>4547</v>
      </c>
    </row>
    <row r="81" customFormat="false" ht="21.75" hidden="false" customHeight="true" outlineLevel="0" collapsed="false">
      <c r="B81" s="4" t="s">
        <v>150</v>
      </c>
      <c r="C81" s="4" t="s">
        <v>4548</v>
      </c>
      <c r="D81" s="5" t="s">
        <v>4549</v>
      </c>
      <c r="E81" s="5" t="s">
        <v>4550</v>
      </c>
      <c r="F81" s="4" t="s">
        <v>4551</v>
      </c>
    </row>
    <row r="82" customFormat="false" ht="21.75" hidden="false" customHeight="true" outlineLevel="0" collapsed="false">
      <c r="B82" s="6" t="s">
        <v>156</v>
      </c>
      <c r="C82" s="6" t="s">
        <v>4552</v>
      </c>
      <c r="D82" s="7" t="s">
        <v>4553</v>
      </c>
      <c r="E82" s="7" t="s">
        <v>4554</v>
      </c>
      <c r="F82" s="6" t="s">
        <v>4555</v>
      </c>
    </row>
    <row r="83" customFormat="false" ht="21.75" hidden="false" customHeight="true" outlineLevel="0" collapsed="false">
      <c r="B83" s="4" t="s">
        <v>156</v>
      </c>
      <c r="C83" s="4" t="s">
        <v>4556</v>
      </c>
      <c r="D83" s="5" t="s">
        <v>4557</v>
      </c>
      <c r="E83" s="5" t="s">
        <v>4558</v>
      </c>
      <c r="F83" s="4" t="s">
        <v>4559</v>
      </c>
    </row>
    <row r="84" customFormat="false" ht="21.75" hidden="false" customHeight="true" outlineLevel="0" collapsed="false">
      <c r="B84" s="6" t="s">
        <v>156</v>
      </c>
      <c r="C84" s="6" t="s">
        <v>4560</v>
      </c>
      <c r="D84" s="7" t="s">
        <v>4561</v>
      </c>
      <c r="E84" s="7" t="s">
        <v>4562</v>
      </c>
      <c r="F84" s="6" t="s">
        <v>4563</v>
      </c>
    </row>
    <row r="85" customFormat="false" ht="21.75" hidden="false" customHeight="true" outlineLevel="0" collapsed="false">
      <c r="B85" s="4" t="s">
        <v>156</v>
      </c>
      <c r="C85" s="4" t="s">
        <v>4564</v>
      </c>
      <c r="D85" s="5" t="s">
        <v>4565</v>
      </c>
      <c r="E85" s="5" t="s">
        <v>4566</v>
      </c>
      <c r="F85" s="4" t="s">
        <v>4567</v>
      </c>
    </row>
    <row r="86" customFormat="false" ht="21.75" hidden="false" customHeight="true" outlineLevel="0" collapsed="false">
      <c r="B86" s="6" t="s">
        <v>156</v>
      </c>
      <c r="C86" s="6" t="s">
        <v>4568</v>
      </c>
      <c r="D86" s="7" t="s">
        <v>4569</v>
      </c>
      <c r="E86" s="7" t="s">
        <v>4570</v>
      </c>
      <c r="F86" s="6" t="s">
        <v>4571</v>
      </c>
    </row>
    <row r="87" customFormat="false" ht="21.75" hidden="false" customHeight="true" outlineLevel="0" collapsed="false">
      <c r="B87" s="4" t="s">
        <v>162</v>
      </c>
      <c r="C87" s="4" t="s">
        <v>4572</v>
      </c>
      <c r="D87" s="5" t="s">
        <v>4573</v>
      </c>
      <c r="E87" s="5" t="s">
        <v>4574</v>
      </c>
      <c r="F87" s="4" t="s">
        <v>4575</v>
      </c>
    </row>
    <row r="88" customFormat="false" ht="21.75" hidden="false" customHeight="true" outlineLevel="0" collapsed="false">
      <c r="B88" s="6" t="s">
        <v>162</v>
      </c>
      <c r="C88" s="6" t="s">
        <v>4576</v>
      </c>
      <c r="D88" s="7" t="s">
        <v>4577</v>
      </c>
      <c r="E88" s="7" t="s">
        <v>4578</v>
      </c>
      <c r="F88" s="6" t="s">
        <v>4579</v>
      </c>
    </row>
    <row r="89" customFormat="false" ht="21.75" hidden="false" customHeight="true" outlineLevel="0" collapsed="false">
      <c r="B89" s="4" t="s">
        <v>162</v>
      </c>
      <c r="C89" s="4" t="s">
        <v>4580</v>
      </c>
      <c r="D89" s="5" t="s">
        <v>4581</v>
      </c>
      <c r="E89" s="5" t="s">
        <v>4582</v>
      </c>
      <c r="F89" s="4" t="s">
        <v>3032</v>
      </c>
    </row>
    <row r="90" customFormat="false" ht="21.75" hidden="false" customHeight="true" outlineLevel="0" collapsed="false">
      <c r="B90" s="6" t="s">
        <v>162</v>
      </c>
      <c r="C90" s="6" t="s">
        <v>4583</v>
      </c>
      <c r="D90" s="7" t="s">
        <v>4584</v>
      </c>
      <c r="E90" s="7" t="s">
        <v>4585</v>
      </c>
      <c r="F90" s="6" t="s">
        <v>4586</v>
      </c>
    </row>
    <row r="91" customFormat="false" ht="21.75" hidden="false" customHeight="true" outlineLevel="0" collapsed="false">
      <c r="B91" s="4" t="s">
        <v>168</v>
      </c>
      <c r="C91" s="4" t="s">
        <v>4587</v>
      </c>
      <c r="D91" s="5" t="s">
        <v>4588</v>
      </c>
      <c r="E91" s="5" t="s">
        <v>4589</v>
      </c>
      <c r="F91" s="4" t="s">
        <v>4590</v>
      </c>
    </row>
    <row r="92" customFormat="false" ht="21.75" hidden="false" customHeight="true" outlineLevel="0" collapsed="false">
      <c r="B92" s="6" t="s">
        <v>168</v>
      </c>
      <c r="C92" s="6" t="s">
        <v>4591</v>
      </c>
      <c r="D92" s="7" t="s">
        <v>4592</v>
      </c>
      <c r="E92" s="7" t="s">
        <v>4593</v>
      </c>
      <c r="F92" s="6" t="s">
        <v>4594</v>
      </c>
    </row>
    <row r="93" customFormat="false" ht="21.75" hidden="false" customHeight="true" outlineLevel="0" collapsed="false">
      <c r="B93" s="4" t="s">
        <v>168</v>
      </c>
      <c r="C93" s="4" t="s">
        <v>4595</v>
      </c>
      <c r="D93" s="5" t="s">
        <v>4596</v>
      </c>
      <c r="E93" s="5" t="s">
        <v>4597</v>
      </c>
      <c r="F93" s="4" t="s">
        <v>4598</v>
      </c>
    </row>
    <row r="94" customFormat="false" ht="21.75" hidden="false" customHeight="true" outlineLevel="0" collapsed="false">
      <c r="B94" s="6" t="s">
        <v>168</v>
      </c>
      <c r="C94" s="6" t="s">
        <v>4599</v>
      </c>
      <c r="D94" s="7" t="s">
        <v>4600</v>
      </c>
      <c r="E94" s="7" t="s">
        <v>4601</v>
      </c>
      <c r="F94" s="6" t="s">
        <v>4602</v>
      </c>
    </row>
    <row r="95" customFormat="false" ht="21.75" hidden="false" customHeight="true" outlineLevel="0" collapsed="false">
      <c r="B95" s="4" t="s">
        <v>174</v>
      </c>
      <c r="C95" s="4" t="s">
        <v>4603</v>
      </c>
      <c r="D95" s="5" t="s">
        <v>4604</v>
      </c>
      <c r="E95" s="5" t="s">
        <v>4605</v>
      </c>
      <c r="F95" s="4" t="s">
        <v>4606</v>
      </c>
    </row>
    <row r="96" customFormat="false" ht="21.75" hidden="false" customHeight="true" outlineLevel="0" collapsed="false">
      <c r="B96" s="6" t="s">
        <v>174</v>
      </c>
      <c r="C96" s="6" t="s">
        <v>4607</v>
      </c>
      <c r="D96" s="7" t="s">
        <v>4608</v>
      </c>
      <c r="E96" s="7" t="s">
        <v>4609</v>
      </c>
      <c r="F96" s="6" t="s">
        <v>4610</v>
      </c>
    </row>
    <row r="97" customFormat="false" ht="21.75" hidden="false" customHeight="true" outlineLevel="0" collapsed="false">
      <c r="B97" s="4" t="s">
        <v>174</v>
      </c>
      <c r="C97" s="4" t="s">
        <v>4611</v>
      </c>
      <c r="D97" s="5" t="s">
        <v>4612</v>
      </c>
      <c r="E97" s="5" t="s">
        <v>4613</v>
      </c>
      <c r="F97" s="4" t="s">
        <v>4614</v>
      </c>
    </row>
    <row r="98" customFormat="false" ht="21.75" hidden="false" customHeight="true" outlineLevel="0" collapsed="false">
      <c r="B98" s="6" t="s">
        <v>174</v>
      </c>
      <c r="C98" s="6" t="s">
        <v>4615</v>
      </c>
      <c r="D98" s="7" t="s">
        <v>4616</v>
      </c>
      <c r="E98" s="7" t="s">
        <v>4617</v>
      </c>
      <c r="F98" s="6" t="s">
        <v>4618</v>
      </c>
    </row>
    <row r="99" customFormat="false" ht="21.75" hidden="false" customHeight="true" outlineLevel="0" collapsed="false">
      <c r="B99" s="4" t="s">
        <v>179</v>
      </c>
      <c r="C99" s="4" t="s">
        <v>4619</v>
      </c>
      <c r="D99" s="5" t="s">
        <v>4620</v>
      </c>
      <c r="E99" s="5" t="s">
        <v>4621</v>
      </c>
      <c r="F99" s="4" t="s">
        <v>4622</v>
      </c>
    </row>
    <row r="100" customFormat="false" ht="21.75" hidden="false" customHeight="true" outlineLevel="0" collapsed="false">
      <c r="B100" s="6" t="s">
        <v>179</v>
      </c>
      <c r="C100" s="6" t="s">
        <v>4623</v>
      </c>
      <c r="D100" s="7" t="s">
        <v>4624</v>
      </c>
      <c r="E100" s="7" t="s">
        <v>4625</v>
      </c>
      <c r="F100" s="6" t="s">
        <v>4626</v>
      </c>
    </row>
    <row r="101" customFormat="false" ht="21.75" hidden="false" customHeight="true" outlineLevel="0" collapsed="false">
      <c r="B101" s="4" t="s">
        <v>179</v>
      </c>
      <c r="C101" s="4" t="s">
        <v>4627</v>
      </c>
      <c r="D101" s="5" t="s">
        <v>4628</v>
      </c>
      <c r="E101" s="5" t="s">
        <v>4629</v>
      </c>
      <c r="F101" s="4" t="s">
        <v>4630</v>
      </c>
    </row>
    <row r="102" customFormat="false" ht="21.75" hidden="false" customHeight="true" outlineLevel="0" collapsed="false">
      <c r="B102" s="6" t="s">
        <v>179</v>
      </c>
      <c r="C102" s="6" t="s">
        <v>4631</v>
      </c>
      <c r="D102" s="7" t="s">
        <v>4632</v>
      </c>
      <c r="E102" s="7" t="s">
        <v>4633</v>
      </c>
      <c r="F102" s="6" t="s">
        <v>4634</v>
      </c>
    </row>
    <row r="103" customFormat="false" ht="21.75" hidden="false" customHeight="true" outlineLevel="0" collapsed="false">
      <c r="B103" s="4" t="s">
        <v>179</v>
      </c>
      <c r="C103" s="4" t="s">
        <v>4635</v>
      </c>
      <c r="D103" s="5" t="s">
        <v>4636</v>
      </c>
      <c r="E103" s="5" t="s">
        <v>4637</v>
      </c>
      <c r="F103" s="4" t="s">
        <v>4638</v>
      </c>
    </row>
    <row r="104" customFormat="false" ht="21.75" hidden="false" customHeight="true" outlineLevel="0" collapsed="false">
      <c r="B104" s="6" t="s">
        <v>179</v>
      </c>
      <c r="C104" s="6" t="s">
        <v>4639</v>
      </c>
      <c r="D104" s="7" t="s">
        <v>4640</v>
      </c>
      <c r="E104" s="7" t="s">
        <v>4641</v>
      </c>
      <c r="F104" s="6" t="s">
        <v>4642</v>
      </c>
    </row>
    <row r="105" customFormat="false" ht="21.75" hidden="false" customHeight="true" outlineLevel="0" collapsed="false">
      <c r="B105" s="4" t="s">
        <v>185</v>
      </c>
      <c r="C105" s="4" t="s">
        <v>4643</v>
      </c>
      <c r="D105" s="5" t="s">
        <v>4644</v>
      </c>
      <c r="E105" s="5" t="s">
        <v>4645</v>
      </c>
      <c r="F105" s="4" t="s">
        <v>4646</v>
      </c>
    </row>
    <row r="106" customFormat="false" ht="21.75" hidden="false" customHeight="true" outlineLevel="0" collapsed="false">
      <c r="B106" s="6" t="s">
        <v>185</v>
      </c>
      <c r="C106" s="6" t="s">
        <v>4647</v>
      </c>
      <c r="D106" s="7" t="s">
        <v>4648</v>
      </c>
      <c r="E106" s="7" t="s">
        <v>4649</v>
      </c>
      <c r="F106" s="6" t="s">
        <v>4650</v>
      </c>
    </row>
    <row r="107" customFormat="false" ht="21.75" hidden="false" customHeight="true" outlineLevel="0" collapsed="false">
      <c r="B107" s="4" t="s">
        <v>185</v>
      </c>
      <c r="C107" s="4" t="s">
        <v>4651</v>
      </c>
      <c r="D107" s="5" t="s">
        <v>4652</v>
      </c>
      <c r="E107" s="5" t="s">
        <v>4653</v>
      </c>
      <c r="F107" s="4" t="s">
        <v>3434</v>
      </c>
    </row>
    <row r="108" customFormat="false" ht="21.75" hidden="false" customHeight="true" outlineLevel="0" collapsed="false">
      <c r="B108" s="6" t="s">
        <v>185</v>
      </c>
      <c r="C108" s="6" t="s">
        <v>4654</v>
      </c>
      <c r="D108" s="7" t="s">
        <v>4655</v>
      </c>
      <c r="E108" s="7" t="s">
        <v>4656</v>
      </c>
      <c r="F108" s="6" t="s">
        <v>3441</v>
      </c>
    </row>
    <row r="109" customFormat="false" ht="21.75" hidden="false" customHeight="true" outlineLevel="0" collapsed="false">
      <c r="B109" s="4" t="s">
        <v>185</v>
      </c>
      <c r="C109" s="4" t="s">
        <v>4657</v>
      </c>
      <c r="D109" s="5" t="s">
        <v>4658</v>
      </c>
      <c r="E109" s="5" t="s">
        <v>4659</v>
      </c>
      <c r="F109" s="4" t="s">
        <v>3448</v>
      </c>
    </row>
    <row r="110" customFormat="false" ht="21.75" hidden="false" customHeight="true" outlineLevel="0" collapsed="false">
      <c r="B110" s="6" t="s">
        <v>185</v>
      </c>
      <c r="C110" s="6" t="s">
        <v>4660</v>
      </c>
      <c r="D110" s="7" t="s">
        <v>4661</v>
      </c>
      <c r="E110" s="7" t="s">
        <v>4662</v>
      </c>
      <c r="F110" s="6" t="s">
        <v>3456</v>
      </c>
    </row>
    <row r="111" customFormat="false" ht="21.75" hidden="false" customHeight="true" outlineLevel="0" collapsed="false">
      <c r="B111" s="4" t="s">
        <v>185</v>
      </c>
      <c r="C111" s="4" t="s">
        <v>4663</v>
      </c>
      <c r="D111" s="5" t="s">
        <v>4664</v>
      </c>
      <c r="E111" s="5" t="s">
        <v>4665</v>
      </c>
      <c r="F111" s="4" t="s">
        <v>4666</v>
      </c>
    </row>
    <row r="112" customFormat="false" ht="21.75" hidden="false" customHeight="true" outlineLevel="0" collapsed="false">
      <c r="B112" s="6" t="s">
        <v>185</v>
      </c>
      <c r="C112" s="6" t="s">
        <v>4667</v>
      </c>
      <c r="D112" s="7" t="s">
        <v>4668</v>
      </c>
      <c r="E112" s="7" t="s">
        <v>4669</v>
      </c>
      <c r="F112" s="6" t="s">
        <v>3480</v>
      </c>
    </row>
    <row r="113" customFormat="false" ht="21.75" hidden="false" customHeight="true" outlineLevel="0" collapsed="false">
      <c r="B113" s="4" t="s">
        <v>185</v>
      </c>
      <c r="C113" s="4" t="s">
        <v>4670</v>
      </c>
      <c r="D113" s="5" t="s">
        <v>4671</v>
      </c>
      <c r="E113" s="5" t="s">
        <v>4672</v>
      </c>
      <c r="F113" s="4" t="s">
        <v>3487</v>
      </c>
    </row>
    <row r="114" customFormat="false" ht="21.75" hidden="false" customHeight="true" outlineLevel="0" collapsed="false">
      <c r="B114" s="6" t="s">
        <v>185</v>
      </c>
      <c r="C114" s="6" t="s">
        <v>4673</v>
      </c>
      <c r="D114" s="7" t="s">
        <v>4674</v>
      </c>
      <c r="E114" s="7" t="s">
        <v>4675</v>
      </c>
      <c r="F114" s="6" t="s">
        <v>4676</v>
      </c>
    </row>
    <row r="115" customFormat="false" ht="21.75" hidden="false" customHeight="true" outlineLevel="0" collapsed="false">
      <c r="B115" s="4" t="s">
        <v>190</v>
      </c>
      <c r="C115" s="4" t="s">
        <v>4677</v>
      </c>
      <c r="D115" s="5" t="s">
        <v>4678</v>
      </c>
      <c r="E115" s="5" t="s">
        <v>4679</v>
      </c>
      <c r="F115" s="4" t="s">
        <v>4680</v>
      </c>
    </row>
    <row r="116" customFormat="false" ht="21.75" hidden="false" customHeight="true" outlineLevel="0" collapsed="false">
      <c r="B116" s="6" t="s">
        <v>190</v>
      </c>
      <c r="C116" s="6" t="s">
        <v>4681</v>
      </c>
      <c r="D116" s="7" t="s">
        <v>4682</v>
      </c>
      <c r="E116" s="7" t="s">
        <v>4683</v>
      </c>
      <c r="F116" s="6" t="s">
        <v>4684</v>
      </c>
    </row>
    <row r="117" customFormat="false" ht="21.75" hidden="false" customHeight="true" outlineLevel="0" collapsed="false">
      <c r="B117" s="4" t="s">
        <v>190</v>
      </c>
      <c r="C117" s="4" t="s">
        <v>4685</v>
      </c>
      <c r="D117" s="5" t="s">
        <v>4686</v>
      </c>
      <c r="E117" s="5" t="s">
        <v>4687</v>
      </c>
      <c r="F117" s="4" t="s">
        <v>4688</v>
      </c>
    </row>
    <row r="118" customFormat="false" ht="21.75" hidden="false" customHeight="true" outlineLevel="0" collapsed="false">
      <c r="B118" s="6" t="s">
        <v>190</v>
      </c>
      <c r="C118" s="6" t="s">
        <v>4689</v>
      </c>
      <c r="D118" s="7" t="s">
        <v>4690</v>
      </c>
      <c r="E118" s="7" t="s">
        <v>4691</v>
      </c>
      <c r="F118" s="6" t="s">
        <v>4692</v>
      </c>
    </row>
    <row r="119" customFormat="false" ht="21.75" hidden="false" customHeight="true" outlineLevel="0" collapsed="false">
      <c r="B119" s="4" t="s">
        <v>190</v>
      </c>
      <c r="C119" s="4" t="s">
        <v>4693</v>
      </c>
      <c r="D119" s="5" t="s">
        <v>4694</v>
      </c>
      <c r="E119" s="5" t="s">
        <v>4695</v>
      </c>
      <c r="F119" s="4" t="s">
        <v>4696</v>
      </c>
    </row>
    <row r="120" customFormat="false" ht="21.75" hidden="false" customHeight="true" outlineLevel="0" collapsed="false">
      <c r="B120" s="6" t="s">
        <v>190</v>
      </c>
      <c r="C120" s="6" t="s">
        <v>4697</v>
      </c>
      <c r="D120" s="7" t="s">
        <v>4698</v>
      </c>
      <c r="E120" s="7" t="s">
        <v>4699</v>
      </c>
      <c r="F120" s="6" t="s">
        <v>4700</v>
      </c>
    </row>
    <row r="121" customFormat="false" ht="21.75" hidden="false" customHeight="true" outlineLevel="0" collapsed="false">
      <c r="B121" s="4" t="s">
        <v>190</v>
      </c>
      <c r="C121" s="4" t="s">
        <v>4701</v>
      </c>
      <c r="D121" s="5" t="s">
        <v>4702</v>
      </c>
      <c r="E121" s="5" t="s">
        <v>4703</v>
      </c>
      <c r="F121" s="4" t="s">
        <v>3667</v>
      </c>
    </row>
    <row r="122" customFormat="false" ht="21.75" hidden="false" customHeight="true" outlineLevel="0" collapsed="false">
      <c r="B122" s="6" t="s">
        <v>190</v>
      </c>
      <c r="C122" s="6" t="s">
        <v>4704</v>
      </c>
      <c r="D122" s="7" t="s">
        <v>4705</v>
      </c>
      <c r="E122" s="7" t="s">
        <v>4706</v>
      </c>
      <c r="F122" s="6" t="s">
        <v>4707</v>
      </c>
    </row>
    <row r="123" customFormat="false" ht="21.75" hidden="false" customHeight="true" outlineLevel="0" collapsed="false">
      <c r="B123" s="4" t="s">
        <v>195</v>
      </c>
      <c r="C123" s="4" t="s">
        <v>4708</v>
      </c>
      <c r="D123" s="5" t="s">
        <v>4709</v>
      </c>
      <c r="E123" s="5" t="s">
        <v>4710</v>
      </c>
      <c r="F123" s="4" t="s">
        <v>4711</v>
      </c>
    </row>
    <row r="124" customFormat="false" ht="21.75" hidden="false" customHeight="true" outlineLevel="0" collapsed="false">
      <c r="B124" s="6" t="s">
        <v>195</v>
      </c>
      <c r="C124" s="6" t="s">
        <v>4712</v>
      </c>
      <c r="D124" s="7" t="s">
        <v>4713</v>
      </c>
      <c r="E124" s="7" t="s">
        <v>4714</v>
      </c>
      <c r="F124" s="6" t="s">
        <v>4715</v>
      </c>
    </row>
    <row r="125" customFormat="false" ht="21.75" hidden="false" customHeight="true" outlineLevel="0" collapsed="false">
      <c r="B125" s="4" t="s">
        <v>195</v>
      </c>
      <c r="C125" s="4" t="s">
        <v>4716</v>
      </c>
      <c r="D125" s="5" t="s">
        <v>4717</v>
      </c>
      <c r="E125" s="5" t="s">
        <v>4718</v>
      </c>
      <c r="F125" s="4" t="s">
        <v>4719</v>
      </c>
    </row>
    <row r="126" customFormat="false" ht="21.75" hidden="false" customHeight="true" outlineLevel="0" collapsed="false">
      <c r="B126" s="6" t="s">
        <v>195</v>
      </c>
      <c r="C126" s="6" t="s">
        <v>4720</v>
      </c>
      <c r="D126" s="7" t="s">
        <v>4721</v>
      </c>
      <c r="E126" s="7" t="s">
        <v>4722</v>
      </c>
      <c r="F126" s="6" t="s">
        <v>3777</v>
      </c>
    </row>
    <row r="127" customFormat="false" ht="21.75" hidden="false" customHeight="true" outlineLevel="0" collapsed="false">
      <c r="B127" s="4" t="s">
        <v>195</v>
      </c>
      <c r="C127" s="4" t="s">
        <v>4723</v>
      </c>
      <c r="D127" s="5" t="s">
        <v>4724</v>
      </c>
      <c r="E127" s="5" t="s">
        <v>4725</v>
      </c>
      <c r="F127" s="4" t="s">
        <v>3784</v>
      </c>
    </row>
    <row r="128" customFormat="false" ht="21.75" hidden="false" customHeight="true" outlineLevel="0" collapsed="false">
      <c r="B128" s="6" t="s">
        <v>199</v>
      </c>
      <c r="C128" s="6" t="s">
        <v>4726</v>
      </c>
      <c r="D128" s="7" t="s">
        <v>4727</v>
      </c>
      <c r="E128" s="7" t="s">
        <v>4728</v>
      </c>
      <c r="F128" s="6" t="s">
        <v>4729</v>
      </c>
    </row>
    <row r="129" customFormat="false" ht="21.75" hidden="false" customHeight="true" outlineLevel="0" collapsed="false">
      <c r="B129" s="4" t="s">
        <v>199</v>
      </c>
      <c r="C129" s="4" t="s">
        <v>4730</v>
      </c>
      <c r="D129" s="5" t="s">
        <v>4731</v>
      </c>
      <c r="E129" s="5" t="s">
        <v>4732</v>
      </c>
      <c r="F129" s="4" t="s">
        <v>4733</v>
      </c>
    </row>
    <row r="130" customFormat="false" ht="21.75" hidden="false" customHeight="true" outlineLevel="0" collapsed="false">
      <c r="B130" s="6" t="s">
        <v>199</v>
      </c>
      <c r="C130" s="6" t="s">
        <v>4734</v>
      </c>
      <c r="D130" s="7" t="s">
        <v>4735</v>
      </c>
      <c r="E130" s="7" t="s">
        <v>4736</v>
      </c>
      <c r="F130" s="6" t="s">
        <v>4737</v>
      </c>
    </row>
    <row r="131" customFormat="false" ht="21.75" hidden="false" customHeight="true" outlineLevel="0" collapsed="false">
      <c r="B131" s="4" t="s">
        <v>199</v>
      </c>
      <c r="C131" s="4" t="s">
        <v>4738</v>
      </c>
      <c r="D131" s="5" t="s">
        <v>4739</v>
      </c>
      <c r="E131" s="5" t="s">
        <v>4740</v>
      </c>
      <c r="F131" s="4" t="s">
        <v>4741</v>
      </c>
    </row>
    <row r="132" customFormat="false" ht="21.75" hidden="false" customHeight="true" outlineLevel="0" collapsed="false">
      <c r="B132" s="6" t="s">
        <v>199</v>
      </c>
      <c r="C132" s="6" t="s">
        <v>4742</v>
      </c>
      <c r="D132" s="7" t="s">
        <v>4743</v>
      </c>
      <c r="E132" s="7" t="s">
        <v>4744</v>
      </c>
      <c r="F132" s="6" t="s">
        <v>4745</v>
      </c>
    </row>
    <row r="133" customFormat="false" ht="21.75" hidden="false" customHeight="true" outlineLevel="0" collapsed="false">
      <c r="B133" s="4" t="s">
        <v>204</v>
      </c>
      <c r="C133" s="4" t="s">
        <v>4746</v>
      </c>
      <c r="D133" s="5" t="s">
        <v>4747</v>
      </c>
      <c r="E133" s="5" t="s">
        <v>4748</v>
      </c>
      <c r="F133" s="4" t="s">
        <v>4749</v>
      </c>
    </row>
    <row r="134" customFormat="false" ht="21.75" hidden="false" customHeight="true" outlineLevel="0" collapsed="false">
      <c r="B134" s="6" t="s">
        <v>204</v>
      </c>
      <c r="C134" s="6" t="s">
        <v>4750</v>
      </c>
      <c r="D134" s="7" t="s">
        <v>4751</v>
      </c>
      <c r="E134" s="7" t="s">
        <v>4752</v>
      </c>
      <c r="F134" s="6" t="s">
        <v>4753</v>
      </c>
    </row>
    <row r="135" customFormat="false" ht="21.75" hidden="false" customHeight="true" outlineLevel="0" collapsed="false">
      <c r="B135" s="4" t="s">
        <v>204</v>
      </c>
      <c r="C135" s="4" t="s">
        <v>4754</v>
      </c>
      <c r="D135" s="5" t="s">
        <v>4755</v>
      </c>
      <c r="E135" s="5" t="s">
        <v>4756</v>
      </c>
      <c r="F135" s="4" t="s">
        <v>4757</v>
      </c>
    </row>
    <row r="136" customFormat="false" ht="21.75" hidden="false" customHeight="true" outlineLevel="0" collapsed="false">
      <c r="B136" s="6" t="s">
        <v>204</v>
      </c>
      <c r="C136" s="6" t="s">
        <v>4758</v>
      </c>
      <c r="D136" s="7" t="s">
        <v>4759</v>
      </c>
      <c r="E136" s="7" t="s">
        <v>4760</v>
      </c>
      <c r="F136" s="6" t="s">
        <v>3967</v>
      </c>
    </row>
    <row r="137" customFormat="false" ht="21.75" hidden="false" customHeight="true" outlineLevel="0" collapsed="false">
      <c r="B137" s="4" t="s">
        <v>204</v>
      </c>
      <c r="C137" s="4" t="s">
        <v>4761</v>
      </c>
      <c r="D137" s="5" t="s">
        <v>4762</v>
      </c>
      <c r="E137" s="5" t="s">
        <v>4763</v>
      </c>
      <c r="F137" s="4" t="s">
        <v>4764</v>
      </c>
    </row>
    <row r="138" customFormat="false" ht="21.75" hidden="false" customHeight="true" outlineLevel="0" collapsed="false">
      <c r="B138" s="6" t="s">
        <v>204</v>
      </c>
      <c r="C138" s="6" t="s">
        <v>4765</v>
      </c>
      <c r="D138" s="7" t="s">
        <v>4766</v>
      </c>
      <c r="E138" s="7" t="s">
        <v>4767</v>
      </c>
      <c r="F138" s="6" t="s">
        <v>3975</v>
      </c>
    </row>
    <row r="139" customFormat="false" ht="21.75" hidden="false" customHeight="true" outlineLevel="0" collapsed="false">
      <c r="B139" s="4" t="s">
        <v>209</v>
      </c>
      <c r="C139" s="4" t="s">
        <v>4768</v>
      </c>
      <c r="D139" s="5" t="s">
        <v>4769</v>
      </c>
      <c r="E139" s="5" t="s">
        <v>4770</v>
      </c>
      <c r="F139" s="4" t="s">
        <v>4771</v>
      </c>
    </row>
    <row r="140" customFormat="false" ht="21.75" hidden="false" customHeight="true" outlineLevel="0" collapsed="false">
      <c r="B140" s="6" t="s">
        <v>209</v>
      </c>
      <c r="C140" s="6" t="s">
        <v>4772</v>
      </c>
      <c r="D140" s="7" t="s">
        <v>4773</v>
      </c>
      <c r="E140" s="7" t="s">
        <v>4774</v>
      </c>
      <c r="F140" s="6" t="s">
        <v>4775</v>
      </c>
    </row>
    <row r="141" customFormat="false" ht="21.75" hidden="false" customHeight="true" outlineLevel="0" collapsed="false">
      <c r="B141" s="4" t="s">
        <v>209</v>
      </c>
      <c r="C141" s="4" t="s">
        <v>4776</v>
      </c>
      <c r="D141" s="5" t="s">
        <v>4777</v>
      </c>
      <c r="E141" s="5" t="s">
        <v>4778</v>
      </c>
      <c r="F141" s="4" t="s">
        <v>4057</v>
      </c>
    </row>
    <row r="142" customFormat="false" ht="21.75" hidden="false" customHeight="true" outlineLevel="0" collapsed="false">
      <c r="B142" s="6" t="s">
        <v>209</v>
      </c>
      <c r="C142" s="6" t="s">
        <v>4779</v>
      </c>
      <c r="D142" s="7" t="s">
        <v>4780</v>
      </c>
      <c r="E142" s="7" t="s">
        <v>4781</v>
      </c>
      <c r="F142" s="6" t="s">
        <v>4782</v>
      </c>
    </row>
    <row r="143" customFormat="false" ht="21.75" hidden="false" customHeight="true" outlineLevel="0" collapsed="false">
      <c r="B143" s="4" t="s">
        <v>209</v>
      </c>
      <c r="C143" s="4" t="s">
        <v>4783</v>
      </c>
      <c r="D143" s="5" t="s">
        <v>4784</v>
      </c>
      <c r="E143" s="5" t="s">
        <v>4785</v>
      </c>
      <c r="F143" s="4" t="s">
        <v>4786</v>
      </c>
    </row>
    <row r="144" customFormat="false" ht="21.75" hidden="false" customHeight="true" outlineLevel="0" collapsed="false">
      <c r="B144" s="6" t="s">
        <v>209</v>
      </c>
      <c r="C144" s="6" t="s">
        <v>4787</v>
      </c>
      <c r="D144" s="7" t="s">
        <v>4788</v>
      </c>
      <c r="E144" s="7" t="s">
        <v>4789</v>
      </c>
      <c r="F144" s="6" t="s">
        <v>4790</v>
      </c>
    </row>
    <row r="145" customFormat="false" ht="21.75" hidden="false" customHeight="true" outlineLevel="0" collapsed="false">
      <c r="B145" s="4" t="s">
        <v>213</v>
      </c>
      <c r="C145" s="4" t="s">
        <v>4791</v>
      </c>
      <c r="D145" s="5" t="s">
        <v>4792</v>
      </c>
      <c r="E145" s="5" t="s">
        <v>4793</v>
      </c>
      <c r="F145" s="4" t="s">
        <v>4794</v>
      </c>
    </row>
    <row r="146" customFormat="false" ht="21.75" hidden="false" customHeight="true" outlineLevel="0" collapsed="false">
      <c r="B146" s="6" t="s">
        <v>213</v>
      </c>
      <c r="C146" s="6" t="s">
        <v>4795</v>
      </c>
      <c r="D146" s="7" t="s">
        <v>4796</v>
      </c>
      <c r="E146" s="7" t="s">
        <v>4797</v>
      </c>
      <c r="F146" s="6" t="s">
        <v>4798</v>
      </c>
    </row>
    <row r="147" customFormat="false" ht="21.75" hidden="false" customHeight="true" outlineLevel="0" collapsed="false">
      <c r="B147" s="4" t="s">
        <v>213</v>
      </c>
      <c r="C147" s="4" t="s">
        <v>4799</v>
      </c>
      <c r="D147" s="5" t="s">
        <v>4800</v>
      </c>
      <c r="E147" s="5" t="s">
        <v>4801</v>
      </c>
      <c r="F147" s="4" t="s">
        <v>4802</v>
      </c>
    </row>
    <row r="148" customFormat="false" ht="21.75" hidden="false" customHeight="true" outlineLevel="0" collapsed="false">
      <c r="B148" s="6" t="s">
        <v>213</v>
      </c>
      <c r="C148" s="6" t="s">
        <v>4803</v>
      </c>
      <c r="D148" s="7" t="s">
        <v>4804</v>
      </c>
      <c r="E148" s="7" t="s">
        <v>4805</v>
      </c>
      <c r="F148" s="6" t="s">
        <v>4806</v>
      </c>
    </row>
    <row r="149" customFormat="false" ht="21.75" hidden="false" customHeight="true" outlineLevel="0" collapsed="false">
      <c r="B149" s="4" t="s">
        <v>213</v>
      </c>
      <c r="C149" s="4" t="s">
        <v>4807</v>
      </c>
      <c r="D149" s="5" t="s">
        <v>4808</v>
      </c>
      <c r="E149" s="5" t="s">
        <v>4809</v>
      </c>
      <c r="F149" s="4" t="s">
        <v>4810</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19"/>
    <col collapsed="false" customWidth="true" hidden="false" outlineLevel="0" max="3" min="3" style="1" width="18"/>
    <col collapsed="false" customWidth="true" hidden="false" outlineLevel="0" max="4" min="4" style="1" width="10"/>
    <col collapsed="false" customWidth="true" hidden="false" outlineLevel="0" max="5" min="5" style="1" width="52"/>
    <col collapsed="false" customWidth="true" hidden="false" outlineLevel="0" max="6" min="6" style="1" width="24"/>
    <col collapsed="false" customWidth="true" hidden="false" outlineLevel="0" max="7" min="7" style="1" width="16"/>
  </cols>
  <sheetData>
    <row r="2" customFormat="false" ht="31.5" hidden="false" customHeight="true" outlineLevel="0" collapsed="false">
      <c r="B2" s="2" t="s">
        <v>4811</v>
      </c>
      <c r="C2" s="2"/>
      <c r="D2" s="2"/>
      <c r="E2" s="2"/>
      <c r="F2" s="2"/>
      <c r="G2" s="2"/>
    </row>
    <row r="3" customFormat="false" ht="7.5" hidden="false" customHeight="true" outlineLevel="0" collapsed="false"/>
    <row r="4" customFormat="false" ht="27.75" hidden="false" customHeight="true" outlineLevel="0" collapsed="false">
      <c r="B4" s="3" t="s">
        <v>33</v>
      </c>
      <c r="C4" s="3" t="s">
        <v>4812</v>
      </c>
      <c r="D4" s="3" t="s">
        <v>4813</v>
      </c>
      <c r="E4" s="3" t="s">
        <v>4814</v>
      </c>
      <c r="F4" s="3" t="s">
        <v>4815</v>
      </c>
      <c r="G4" s="3" t="s">
        <v>4816</v>
      </c>
    </row>
    <row r="5" customFormat="false" ht="21.75" hidden="false" customHeight="true" outlineLevel="0" collapsed="false">
      <c r="B5" s="4" t="s">
        <v>50</v>
      </c>
      <c r="C5" s="4" t="s">
        <v>241</v>
      </c>
      <c r="D5" s="5" t="s">
        <v>2</v>
      </c>
      <c r="E5" s="5" t="s">
        <v>4817</v>
      </c>
      <c r="F5" s="4" t="s">
        <v>4818</v>
      </c>
      <c r="G5" s="4" t="s">
        <v>228</v>
      </c>
    </row>
    <row r="6" customFormat="false" ht="21.75" hidden="false" customHeight="true" outlineLevel="0" collapsed="false">
      <c r="B6" s="6" t="s">
        <v>50</v>
      </c>
      <c r="C6" s="6" t="s">
        <v>4819</v>
      </c>
      <c r="D6" s="7" t="s">
        <v>2</v>
      </c>
      <c r="E6" s="7" t="s">
        <v>4820</v>
      </c>
      <c r="F6" s="6" t="s">
        <v>4818</v>
      </c>
      <c r="G6" s="6" t="s">
        <v>228</v>
      </c>
    </row>
    <row r="7" customFormat="false" ht="21.75" hidden="false" customHeight="true" outlineLevel="0" collapsed="false">
      <c r="B7" s="4" t="s">
        <v>50</v>
      </c>
      <c r="C7" s="4" t="s">
        <v>4821</v>
      </c>
      <c r="D7" s="5" t="s">
        <v>4822</v>
      </c>
      <c r="E7" s="5" t="s">
        <v>4823</v>
      </c>
      <c r="F7" s="4" t="s">
        <v>241</v>
      </c>
      <c r="G7" s="4" t="s">
        <v>238</v>
      </c>
    </row>
    <row r="8" customFormat="false" ht="21.75" hidden="false" customHeight="true" outlineLevel="0" collapsed="false">
      <c r="B8" s="6" t="s">
        <v>50</v>
      </c>
      <c r="C8" s="6" t="s">
        <v>4824</v>
      </c>
      <c r="D8" s="7" t="s">
        <v>4822</v>
      </c>
      <c r="E8" s="7" t="s">
        <v>4825</v>
      </c>
      <c r="F8" s="6" t="s">
        <v>4826</v>
      </c>
      <c r="G8" s="6" t="s">
        <v>246</v>
      </c>
    </row>
    <row r="9" customFormat="false" ht="21.75" hidden="false" customHeight="true" outlineLevel="0" collapsed="false">
      <c r="B9" s="4" t="s">
        <v>50</v>
      </c>
      <c r="C9" s="4" t="s">
        <v>4827</v>
      </c>
      <c r="D9" s="5" t="s">
        <v>4822</v>
      </c>
      <c r="E9" s="5" t="s">
        <v>4828</v>
      </c>
      <c r="F9" s="4" t="s">
        <v>4826</v>
      </c>
      <c r="G9" s="4" t="s">
        <v>246</v>
      </c>
    </row>
    <row r="10" customFormat="false" ht="21.75" hidden="false" customHeight="true" outlineLevel="0" collapsed="false">
      <c r="B10" s="6" t="s">
        <v>50</v>
      </c>
      <c r="C10" s="6" t="s">
        <v>4829</v>
      </c>
      <c r="D10" s="7" t="s">
        <v>4822</v>
      </c>
      <c r="E10" s="7" t="s">
        <v>4830</v>
      </c>
      <c r="F10" s="6" t="s">
        <v>4831</v>
      </c>
      <c r="G10" s="6" t="s">
        <v>301</v>
      </c>
    </row>
    <row r="11" customFormat="false" ht="21.75" hidden="false" customHeight="true" outlineLevel="0" collapsed="false">
      <c r="B11" s="4" t="s">
        <v>50</v>
      </c>
      <c r="C11" s="4" t="s">
        <v>4832</v>
      </c>
      <c r="D11" s="5" t="s">
        <v>4833</v>
      </c>
      <c r="E11" s="5" t="s">
        <v>4834</v>
      </c>
      <c r="F11" s="4" t="s">
        <v>4835</v>
      </c>
      <c r="G11" s="4" t="s">
        <v>270</v>
      </c>
    </row>
    <row r="12" customFormat="false" ht="21.75" hidden="false" customHeight="true" outlineLevel="0" collapsed="false">
      <c r="B12" s="6" t="s">
        <v>50</v>
      </c>
      <c r="C12" s="6" t="s">
        <v>4836</v>
      </c>
      <c r="D12" s="7" t="s">
        <v>4837</v>
      </c>
      <c r="E12" s="7" t="s">
        <v>4838</v>
      </c>
      <c r="F12" s="6" t="s">
        <v>4839</v>
      </c>
      <c r="G12" s="6" t="s">
        <v>278</v>
      </c>
    </row>
    <row r="13" customFormat="false" ht="21.75" hidden="false" customHeight="true" outlineLevel="0" collapsed="false">
      <c r="B13" s="4" t="s">
        <v>50</v>
      </c>
      <c r="C13" s="4" t="s">
        <v>266</v>
      </c>
      <c r="D13" s="5" t="s">
        <v>2</v>
      </c>
      <c r="E13" s="5" t="s">
        <v>4840</v>
      </c>
      <c r="F13" s="4"/>
      <c r="G13" s="4" t="s">
        <v>285</v>
      </c>
    </row>
    <row r="14" customFormat="false" ht="21.75" hidden="false" customHeight="true" outlineLevel="0" collapsed="false">
      <c r="B14" s="6" t="s">
        <v>50</v>
      </c>
      <c r="C14" s="6" t="s">
        <v>4841</v>
      </c>
      <c r="D14" s="7" t="s">
        <v>4822</v>
      </c>
      <c r="E14" s="7" t="s">
        <v>4842</v>
      </c>
      <c r="F14" s="6" t="s">
        <v>4843</v>
      </c>
      <c r="G14" s="6" t="s">
        <v>308</v>
      </c>
    </row>
    <row r="15" customFormat="false" ht="21.75" hidden="false" customHeight="true" outlineLevel="0" collapsed="false">
      <c r="B15" s="4" t="s">
        <v>50</v>
      </c>
      <c r="C15" s="4" t="s">
        <v>4844</v>
      </c>
      <c r="D15" s="5" t="s">
        <v>4822</v>
      </c>
      <c r="E15" s="5" t="s">
        <v>4845</v>
      </c>
      <c r="F15" s="4" t="s">
        <v>4846</v>
      </c>
      <c r="G15" s="4" t="s">
        <v>315</v>
      </c>
    </row>
    <row r="16" customFormat="false" ht="21.75" hidden="false" customHeight="true" outlineLevel="0" collapsed="false">
      <c r="B16" s="6" t="s">
        <v>50</v>
      </c>
      <c r="C16" s="6" t="s">
        <v>4847</v>
      </c>
      <c r="D16" s="7" t="s">
        <v>4822</v>
      </c>
      <c r="E16" s="7" t="s">
        <v>4848</v>
      </c>
      <c r="F16" s="6" t="s">
        <v>4849</v>
      </c>
      <c r="G16" s="6" t="s">
        <v>338</v>
      </c>
    </row>
    <row r="17" customFormat="false" ht="21.75" hidden="false" customHeight="true" outlineLevel="0" collapsed="false">
      <c r="B17" s="4" t="s">
        <v>50</v>
      </c>
      <c r="C17" s="4" t="s">
        <v>4850</v>
      </c>
      <c r="D17" s="5" t="s">
        <v>4851</v>
      </c>
      <c r="E17" s="5" t="s">
        <v>4852</v>
      </c>
      <c r="F17" s="4"/>
      <c r="G17" s="4" t="s">
        <v>329</v>
      </c>
    </row>
    <row r="18" customFormat="false" ht="21.75" hidden="false" customHeight="true" outlineLevel="0" collapsed="false">
      <c r="B18" s="6" t="s">
        <v>50</v>
      </c>
      <c r="C18" s="6" t="s">
        <v>4853</v>
      </c>
      <c r="D18" s="7" t="s">
        <v>4854</v>
      </c>
      <c r="E18" s="7" t="s">
        <v>4855</v>
      </c>
      <c r="F18" s="6" t="s">
        <v>4847</v>
      </c>
      <c r="G18" s="6" t="s">
        <v>360</v>
      </c>
    </row>
    <row r="19" customFormat="false" ht="21.75" hidden="false" customHeight="true" outlineLevel="0" collapsed="false">
      <c r="B19" s="4" t="s">
        <v>56</v>
      </c>
      <c r="C19" s="4" t="s">
        <v>4856</v>
      </c>
      <c r="D19" s="5" t="s">
        <v>2</v>
      </c>
      <c r="E19" s="5" t="s">
        <v>4857</v>
      </c>
      <c r="F19" s="4" t="s">
        <v>4858</v>
      </c>
      <c r="G19" s="4" t="s">
        <v>407</v>
      </c>
    </row>
    <row r="20" customFormat="false" ht="21.75" hidden="false" customHeight="true" outlineLevel="0" collapsed="false">
      <c r="B20" s="6" t="s">
        <v>56</v>
      </c>
      <c r="C20" s="6" t="s">
        <v>4859</v>
      </c>
      <c r="D20" s="7" t="s">
        <v>4822</v>
      </c>
      <c r="E20" s="7" t="s">
        <v>4860</v>
      </c>
      <c r="F20" s="6" t="s">
        <v>4856</v>
      </c>
      <c r="G20" s="6" t="s">
        <v>414</v>
      </c>
    </row>
    <row r="21" customFormat="false" ht="21.75" hidden="false" customHeight="true" outlineLevel="0" collapsed="false">
      <c r="B21" s="4" t="s">
        <v>56</v>
      </c>
      <c r="C21" s="4" t="s">
        <v>429</v>
      </c>
      <c r="D21" s="5" t="s">
        <v>4822</v>
      </c>
      <c r="E21" s="5" t="s">
        <v>4861</v>
      </c>
      <c r="F21" s="4" t="s">
        <v>4859</v>
      </c>
      <c r="G21" s="4" t="s">
        <v>420</v>
      </c>
    </row>
    <row r="22" customFormat="false" ht="21.75" hidden="false" customHeight="true" outlineLevel="0" collapsed="false">
      <c r="B22" s="6" t="s">
        <v>56</v>
      </c>
      <c r="C22" s="6" t="s">
        <v>430</v>
      </c>
      <c r="D22" s="7" t="s">
        <v>4822</v>
      </c>
      <c r="E22" s="7" t="s">
        <v>4862</v>
      </c>
      <c r="F22" s="6" t="s">
        <v>429</v>
      </c>
      <c r="G22" s="6" t="s">
        <v>426</v>
      </c>
    </row>
    <row r="23" customFormat="false" ht="21.75" hidden="false" customHeight="true" outlineLevel="0" collapsed="false">
      <c r="B23" s="4" t="s">
        <v>56</v>
      </c>
      <c r="C23" s="4" t="s">
        <v>4863</v>
      </c>
      <c r="D23" s="5" t="s">
        <v>4822</v>
      </c>
      <c r="E23" s="5" t="s">
        <v>4864</v>
      </c>
      <c r="F23" s="4" t="s">
        <v>4865</v>
      </c>
      <c r="G23" s="4" t="s">
        <v>432</v>
      </c>
    </row>
    <row r="24" customFormat="false" ht="21.75" hidden="false" customHeight="true" outlineLevel="0" collapsed="false">
      <c r="B24" s="6" t="s">
        <v>56</v>
      </c>
      <c r="C24" s="6" t="s">
        <v>4866</v>
      </c>
      <c r="D24" s="7" t="s">
        <v>4822</v>
      </c>
      <c r="E24" s="7" t="s">
        <v>4867</v>
      </c>
      <c r="F24" s="6" t="s">
        <v>4868</v>
      </c>
      <c r="G24" s="6" t="s">
        <v>432</v>
      </c>
    </row>
    <row r="25" customFormat="false" ht="21.75" hidden="false" customHeight="true" outlineLevel="0" collapsed="false">
      <c r="B25" s="4" t="s">
        <v>56</v>
      </c>
      <c r="C25" s="4" t="s">
        <v>4869</v>
      </c>
      <c r="D25" s="5" t="s">
        <v>4822</v>
      </c>
      <c r="E25" s="5" t="s">
        <v>4870</v>
      </c>
      <c r="F25" s="4" t="s">
        <v>4868</v>
      </c>
      <c r="G25" s="4" t="s">
        <v>440</v>
      </c>
    </row>
    <row r="26" customFormat="false" ht="21.75" hidden="false" customHeight="true" outlineLevel="0" collapsed="false">
      <c r="B26" s="6" t="s">
        <v>56</v>
      </c>
      <c r="C26" s="6" t="s">
        <v>4871</v>
      </c>
      <c r="D26" s="7" t="s">
        <v>2</v>
      </c>
      <c r="E26" s="7" t="s">
        <v>4872</v>
      </c>
      <c r="F26" s="6" t="s">
        <v>4856</v>
      </c>
      <c r="G26" s="6" t="s">
        <v>455</v>
      </c>
    </row>
    <row r="27" customFormat="false" ht="21.75" hidden="false" customHeight="true" outlineLevel="0" collapsed="false">
      <c r="B27" s="4" t="s">
        <v>56</v>
      </c>
      <c r="C27" s="4" t="s">
        <v>4873</v>
      </c>
      <c r="D27" s="5" t="s">
        <v>4822</v>
      </c>
      <c r="E27" s="5" t="s">
        <v>4874</v>
      </c>
      <c r="F27" s="4" t="s">
        <v>4871</v>
      </c>
      <c r="G27" s="4" t="s">
        <v>463</v>
      </c>
    </row>
    <row r="28" customFormat="false" ht="21.75" hidden="false" customHeight="true" outlineLevel="0" collapsed="false">
      <c r="B28" s="6" t="s">
        <v>56</v>
      </c>
      <c r="C28" s="6" t="s">
        <v>4875</v>
      </c>
      <c r="D28" s="7" t="s">
        <v>4851</v>
      </c>
      <c r="E28" s="7" t="s">
        <v>4876</v>
      </c>
      <c r="F28" s="6" t="s">
        <v>4873</v>
      </c>
      <c r="G28" s="6" t="s">
        <v>472</v>
      </c>
    </row>
    <row r="29" customFormat="false" ht="21.75" hidden="false" customHeight="true" outlineLevel="0" collapsed="false">
      <c r="B29" s="4" t="s">
        <v>56</v>
      </c>
      <c r="C29" s="4" t="s">
        <v>4877</v>
      </c>
      <c r="D29" s="5" t="s">
        <v>4822</v>
      </c>
      <c r="E29" s="5" t="s">
        <v>4878</v>
      </c>
      <c r="F29" s="4" t="s">
        <v>4875</v>
      </c>
      <c r="G29" s="4" t="s">
        <v>479</v>
      </c>
    </row>
    <row r="30" customFormat="false" ht="21.75" hidden="false" customHeight="true" outlineLevel="0" collapsed="false">
      <c r="B30" s="6" t="s">
        <v>56</v>
      </c>
      <c r="C30" s="6" t="s">
        <v>335</v>
      </c>
      <c r="D30" s="7" t="s">
        <v>4833</v>
      </c>
      <c r="E30" s="7" t="s">
        <v>4879</v>
      </c>
      <c r="F30" s="6"/>
      <c r="G30" s="6" t="s">
        <v>487</v>
      </c>
    </row>
    <row r="31" customFormat="false" ht="21.75" hidden="false" customHeight="true" outlineLevel="0" collapsed="false">
      <c r="B31" s="4" t="s">
        <v>56</v>
      </c>
      <c r="C31" s="4" t="s">
        <v>4880</v>
      </c>
      <c r="D31" s="5" t="s">
        <v>4854</v>
      </c>
      <c r="E31" s="5" t="s">
        <v>4881</v>
      </c>
      <c r="F31" s="4" t="s">
        <v>4882</v>
      </c>
      <c r="G31" s="4" t="s">
        <v>495</v>
      </c>
    </row>
    <row r="32" customFormat="false" ht="21.75" hidden="false" customHeight="true" outlineLevel="0" collapsed="false">
      <c r="B32" s="6" t="s">
        <v>56</v>
      </c>
      <c r="C32" s="6" t="s">
        <v>4883</v>
      </c>
      <c r="D32" s="7" t="s">
        <v>4851</v>
      </c>
      <c r="E32" s="7" t="s">
        <v>4884</v>
      </c>
      <c r="F32" s="6" t="s">
        <v>4880</v>
      </c>
      <c r="G32" s="6" t="s">
        <v>519</v>
      </c>
    </row>
    <row r="33" customFormat="false" ht="21.75" hidden="false" customHeight="true" outlineLevel="0" collapsed="false">
      <c r="B33" s="4" t="s">
        <v>62</v>
      </c>
      <c r="C33" s="4" t="s">
        <v>4885</v>
      </c>
      <c r="D33" s="5" t="s">
        <v>2</v>
      </c>
      <c r="E33" s="5" t="s">
        <v>4886</v>
      </c>
      <c r="F33" s="4"/>
      <c r="G33" s="4" t="s">
        <v>534</v>
      </c>
    </row>
    <row r="34" customFormat="false" ht="21.75" hidden="false" customHeight="true" outlineLevel="0" collapsed="false">
      <c r="B34" s="6" t="s">
        <v>62</v>
      </c>
      <c r="C34" s="6" t="s">
        <v>4887</v>
      </c>
      <c r="D34" s="7" t="s">
        <v>2</v>
      </c>
      <c r="E34" s="7" t="s">
        <v>4888</v>
      </c>
      <c r="F34" s="6"/>
      <c r="G34" s="6" t="s">
        <v>562</v>
      </c>
    </row>
    <row r="35" customFormat="false" ht="21.75" hidden="false" customHeight="true" outlineLevel="0" collapsed="false">
      <c r="B35" s="4" t="s">
        <v>62</v>
      </c>
      <c r="C35" s="4" t="s">
        <v>4889</v>
      </c>
      <c r="D35" s="5" t="s">
        <v>4851</v>
      </c>
      <c r="E35" s="5" t="s">
        <v>4890</v>
      </c>
      <c r="F35" s="4" t="s">
        <v>587</v>
      </c>
      <c r="G35" s="4" t="s">
        <v>577</v>
      </c>
    </row>
    <row r="36" customFormat="false" ht="21.75" hidden="false" customHeight="true" outlineLevel="0" collapsed="false">
      <c r="B36" s="6" t="s">
        <v>62</v>
      </c>
      <c r="C36" s="6" t="s">
        <v>4891</v>
      </c>
      <c r="D36" s="7" t="s">
        <v>4851</v>
      </c>
      <c r="E36" s="7" t="s">
        <v>4892</v>
      </c>
      <c r="F36" s="6" t="s">
        <v>4893</v>
      </c>
      <c r="G36" s="6" t="s">
        <v>599</v>
      </c>
    </row>
    <row r="37" customFormat="false" ht="21.75" hidden="false" customHeight="true" outlineLevel="0" collapsed="false">
      <c r="B37" s="4" t="s">
        <v>62</v>
      </c>
      <c r="C37" s="4" t="s">
        <v>4894</v>
      </c>
      <c r="D37" s="5" t="s">
        <v>4895</v>
      </c>
      <c r="E37" s="5" t="s">
        <v>4896</v>
      </c>
      <c r="F37" s="4" t="s">
        <v>625</v>
      </c>
      <c r="G37" s="4" t="s">
        <v>622</v>
      </c>
    </row>
    <row r="38" customFormat="false" ht="21.75" hidden="false" customHeight="true" outlineLevel="0" collapsed="false">
      <c r="B38" s="6" t="s">
        <v>62</v>
      </c>
      <c r="C38" s="6" t="s">
        <v>551</v>
      </c>
      <c r="D38" s="7" t="s">
        <v>4897</v>
      </c>
      <c r="E38" s="7" t="s">
        <v>4898</v>
      </c>
      <c r="F38" s="6" t="s">
        <v>4899</v>
      </c>
      <c r="G38" s="6" t="s">
        <v>615</v>
      </c>
    </row>
    <row r="39" customFormat="false" ht="21.75" hidden="false" customHeight="true" outlineLevel="0" collapsed="false">
      <c r="B39" s="4" t="s">
        <v>62</v>
      </c>
      <c r="C39" s="4" t="s">
        <v>4900</v>
      </c>
      <c r="D39" s="5" t="s">
        <v>4851</v>
      </c>
      <c r="E39" s="5" t="s">
        <v>4901</v>
      </c>
      <c r="F39" s="4" t="s">
        <v>551</v>
      </c>
      <c r="G39" s="4" t="s">
        <v>554</v>
      </c>
    </row>
    <row r="40" customFormat="false" ht="21.75" hidden="false" customHeight="true" outlineLevel="0" collapsed="false">
      <c r="B40" s="6" t="s">
        <v>62</v>
      </c>
      <c r="C40" s="6" t="s">
        <v>4902</v>
      </c>
      <c r="D40" s="7" t="s">
        <v>4854</v>
      </c>
      <c r="E40" s="7" t="s">
        <v>4903</v>
      </c>
      <c r="F40" s="6" t="s">
        <v>4900</v>
      </c>
      <c r="G40" s="6" t="s">
        <v>548</v>
      </c>
    </row>
    <row r="41" customFormat="false" ht="21.75" hidden="false" customHeight="true" outlineLevel="0" collapsed="false">
      <c r="B41" s="4" t="s">
        <v>62</v>
      </c>
      <c r="C41" s="4" t="s">
        <v>4904</v>
      </c>
      <c r="D41" s="5" t="s">
        <v>4837</v>
      </c>
      <c r="E41" s="5" t="s">
        <v>4905</v>
      </c>
      <c r="F41" s="4" t="s">
        <v>551</v>
      </c>
      <c r="G41" s="4" t="s">
        <v>629</v>
      </c>
    </row>
    <row r="42" customFormat="false" ht="21.75" hidden="false" customHeight="true" outlineLevel="0" collapsed="false">
      <c r="B42" s="6" t="s">
        <v>62</v>
      </c>
      <c r="C42" s="6" t="s">
        <v>4906</v>
      </c>
      <c r="D42" s="7" t="s">
        <v>4822</v>
      </c>
      <c r="E42" s="7" t="s">
        <v>4907</v>
      </c>
      <c r="F42" s="6" t="s">
        <v>4904</v>
      </c>
      <c r="G42" s="6" t="s">
        <v>644</v>
      </c>
    </row>
    <row r="43" customFormat="false" ht="21.75" hidden="false" customHeight="true" outlineLevel="0" collapsed="false">
      <c r="B43" s="4" t="s">
        <v>62</v>
      </c>
      <c r="C43" s="4" t="s">
        <v>4908</v>
      </c>
      <c r="D43" s="5" t="s">
        <v>4822</v>
      </c>
      <c r="E43" s="5" t="s">
        <v>4909</v>
      </c>
      <c r="F43" s="4" t="s">
        <v>4906</v>
      </c>
      <c r="G43" s="4" t="s">
        <v>607</v>
      </c>
    </row>
    <row r="44" customFormat="false" ht="21.75" hidden="false" customHeight="true" outlineLevel="0" collapsed="false">
      <c r="B44" s="6" t="s">
        <v>62</v>
      </c>
      <c r="C44" s="6" t="s">
        <v>4910</v>
      </c>
      <c r="D44" s="7" t="s">
        <v>4833</v>
      </c>
      <c r="E44" s="7" t="s">
        <v>4911</v>
      </c>
      <c r="F44" s="6" t="s">
        <v>4912</v>
      </c>
      <c r="G44" s="6" t="s">
        <v>592</v>
      </c>
    </row>
    <row r="45" customFormat="false" ht="21.75" hidden="false" customHeight="true" outlineLevel="0" collapsed="false">
      <c r="B45" s="4" t="s">
        <v>68</v>
      </c>
      <c r="C45" s="4" t="s">
        <v>4913</v>
      </c>
      <c r="D45" s="5" t="s">
        <v>4854</v>
      </c>
      <c r="E45" s="5" t="s">
        <v>4914</v>
      </c>
      <c r="F45" s="4"/>
      <c r="G45" s="4" t="s">
        <v>718</v>
      </c>
    </row>
    <row r="46" customFormat="false" ht="21.75" hidden="false" customHeight="true" outlineLevel="0" collapsed="false">
      <c r="B46" s="6" t="s">
        <v>68</v>
      </c>
      <c r="C46" s="6" t="s">
        <v>4915</v>
      </c>
      <c r="D46" s="7" t="s">
        <v>4837</v>
      </c>
      <c r="E46" s="7" t="s">
        <v>4916</v>
      </c>
      <c r="F46" s="6" t="s">
        <v>4913</v>
      </c>
      <c r="G46" s="6" t="s">
        <v>726</v>
      </c>
    </row>
    <row r="47" customFormat="false" ht="21.75" hidden="false" customHeight="true" outlineLevel="0" collapsed="false">
      <c r="B47" s="4" t="s">
        <v>68</v>
      </c>
      <c r="C47" s="4" t="s">
        <v>4917</v>
      </c>
      <c r="D47" s="5" t="s">
        <v>4895</v>
      </c>
      <c r="E47" s="5" t="s">
        <v>4918</v>
      </c>
      <c r="F47" s="4" t="s">
        <v>4915</v>
      </c>
      <c r="G47" s="4" t="s">
        <v>683</v>
      </c>
    </row>
    <row r="48" customFormat="false" ht="21.75" hidden="false" customHeight="true" outlineLevel="0" collapsed="false">
      <c r="B48" s="6" t="s">
        <v>68</v>
      </c>
      <c r="C48" s="6" t="s">
        <v>4919</v>
      </c>
      <c r="D48" s="7" t="s">
        <v>4822</v>
      </c>
      <c r="E48" s="7" t="s">
        <v>4920</v>
      </c>
      <c r="F48" s="6" t="s">
        <v>4915</v>
      </c>
      <c r="G48" s="6" t="s">
        <v>734</v>
      </c>
    </row>
    <row r="49" customFormat="false" ht="21.75" hidden="false" customHeight="true" outlineLevel="0" collapsed="false">
      <c r="B49" s="4" t="s">
        <v>68</v>
      </c>
      <c r="C49" s="4" t="s">
        <v>4921</v>
      </c>
      <c r="D49" s="5" t="s">
        <v>4833</v>
      </c>
      <c r="E49" s="5" t="s">
        <v>4922</v>
      </c>
      <c r="F49" s="4" t="s">
        <v>4915</v>
      </c>
      <c r="G49" s="4" t="s">
        <v>741</v>
      </c>
    </row>
    <row r="50" customFormat="false" ht="21.75" hidden="false" customHeight="true" outlineLevel="0" collapsed="false">
      <c r="B50" s="6" t="s">
        <v>68</v>
      </c>
      <c r="C50" s="6" t="s">
        <v>4923</v>
      </c>
      <c r="D50" s="7" t="s">
        <v>4822</v>
      </c>
      <c r="E50" s="7" t="s">
        <v>4924</v>
      </c>
      <c r="F50" s="6" t="s">
        <v>4921</v>
      </c>
      <c r="G50" s="6" t="s">
        <v>757</v>
      </c>
    </row>
    <row r="51" customFormat="false" ht="21.75" hidden="false" customHeight="true" outlineLevel="0" collapsed="false">
      <c r="B51" s="4" t="s">
        <v>68</v>
      </c>
      <c r="C51" s="4" t="s">
        <v>4925</v>
      </c>
      <c r="D51" s="5" t="s">
        <v>4822</v>
      </c>
      <c r="E51" s="5" t="s">
        <v>4926</v>
      </c>
      <c r="F51" s="4" t="s">
        <v>4923</v>
      </c>
      <c r="G51" s="4" t="s">
        <v>764</v>
      </c>
    </row>
    <row r="52" customFormat="false" ht="21.75" hidden="false" customHeight="true" outlineLevel="0" collapsed="false">
      <c r="B52" s="6" t="s">
        <v>68</v>
      </c>
      <c r="C52" s="6" t="s">
        <v>4927</v>
      </c>
      <c r="D52" s="7" t="s">
        <v>4837</v>
      </c>
      <c r="E52" s="7" t="s">
        <v>4928</v>
      </c>
      <c r="F52" s="6" t="s">
        <v>4921</v>
      </c>
      <c r="G52" s="6" t="s">
        <v>772</v>
      </c>
    </row>
    <row r="53" customFormat="false" ht="21.75" hidden="false" customHeight="true" outlineLevel="0" collapsed="false">
      <c r="B53" s="4" t="s">
        <v>68</v>
      </c>
      <c r="C53" s="4" t="s">
        <v>2133</v>
      </c>
      <c r="D53" s="5" t="s">
        <v>4822</v>
      </c>
      <c r="E53" s="5" t="s">
        <v>4929</v>
      </c>
      <c r="F53" s="4" t="s">
        <v>4930</v>
      </c>
      <c r="G53" s="4" t="s">
        <v>698</v>
      </c>
    </row>
    <row r="54" customFormat="false" ht="21.75" hidden="false" customHeight="true" outlineLevel="0" collapsed="false">
      <c r="B54" s="6" t="s">
        <v>68</v>
      </c>
      <c r="C54" s="6" t="s">
        <v>4931</v>
      </c>
      <c r="D54" s="7" t="s">
        <v>2</v>
      </c>
      <c r="E54" s="7" t="s">
        <v>4932</v>
      </c>
      <c r="F54" s="6" t="s">
        <v>2133</v>
      </c>
      <c r="G54" s="6" t="s">
        <v>705</v>
      </c>
    </row>
    <row r="55" customFormat="false" ht="21.75" hidden="false" customHeight="true" outlineLevel="0" collapsed="false">
      <c r="B55" s="4" t="s">
        <v>68</v>
      </c>
      <c r="C55" s="4" t="s">
        <v>4933</v>
      </c>
      <c r="D55" s="5" t="s">
        <v>4851</v>
      </c>
      <c r="E55" s="5" t="s">
        <v>4934</v>
      </c>
      <c r="F55" s="4" t="s">
        <v>4935</v>
      </c>
      <c r="G55" s="4" t="s">
        <v>787</v>
      </c>
    </row>
    <row r="56" customFormat="false" ht="21.75" hidden="false" customHeight="true" outlineLevel="0" collapsed="false">
      <c r="B56" s="6" t="s">
        <v>68</v>
      </c>
      <c r="C56" s="6" t="s">
        <v>4936</v>
      </c>
      <c r="D56" s="7" t="s">
        <v>4851</v>
      </c>
      <c r="E56" s="7" t="s">
        <v>4937</v>
      </c>
      <c r="F56" s="6" t="s">
        <v>4933</v>
      </c>
      <c r="G56" s="6" t="s">
        <v>794</v>
      </c>
    </row>
    <row r="57" customFormat="false" ht="21.75" hidden="false" customHeight="true" outlineLevel="0" collapsed="false">
      <c r="B57" s="4" t="s">
        <v>68</v>
      </c>
      <c r="C57" s="4" t="s">
        <v>4908</v>
      </c>
      <c r="D57" s="5" t="s">
        <v>4837</v>
      </c>
      <c r="E57" s="5" t="s">
        <v>4938</v>
      </c>
      <c r="F57" s="4" t="s">
        <v>4936</v>
      </c>
      <c r="G57" s="4" t="s">
        <v>802</v>
      </c>
    </row>
    <row r="58" customFormat="false" ht="21.75" hidden="false" customHeight="true" outlineLevel="0" collapsed="false">
      <c r="B58" s="6" t="s">
        <v>74</v>
      </c>
      <c r="C58" s="6" t="s">
        <v>4939</v>
      </c>
      <c r="D58" s="7" t="s">
        <v>2</v>
      </c>
      <c r="E58" s="7" t="s">
        <v>4940</v>
      </c>
      <c r="F58" s="6"/>
      <c r="G58" s="6" t="s">
        <v>840</v>
      </c>
    </row>
    <row r="59" customFormat="false" ht="21.75" hidden="false" customHeight="true" outlineLevel="0" collapsed="false">
      <c r="B59" s="4" t="s">
        <v>74</v>
      </c>
      <c r="C59" s="4" t="s">
        <v>4941</v>
      </c>
      <c r="D59" s="5" t="s">
        <v>4822</v>
      </c>
      <c r="E59" s="5" t="s">
        <v>4942</v>
      </c>
      <c r="F59" s="4" t="s">
        <v>4939</v>
      </c>
      <c r="G59" s="4" t="s">
        <v>856</v>
      </c>
    </row>
    <row r="60" customFormat="false" ht="21.75" hidden="false" customHeight="true" outlineLevel="0" collapsed="false">
      <c r="B60" s="6" t="s">
        <v>74</v>
      </c>
      <c r="C60" s="6" t="s">
        <v>4943</v>
      </c>
      <c r="D60" s="7" t="s">
        <v>4822</v>
      </c>
      <c r="E60" s="7" t="s">
        <v>4944</v>
      </c>
      <c r="F60" s="6" t="s">
        <v>4941</v>
      </c>
      <c r="G60" s="6" t="s">
        <v>864</v>
      </c>
    </row>
    <row r="61" customFormat="false" ht="21.75" hidden="false" customHeight="true" outlineLevel="0" collapsed="false">
      <c r="B61" s="4" t="s">
        <v>74</v>
      </c>
      <c r="C61" s="4" t="s">
        <v>4945</v>
      </c>
      <c r="D61" s="5" t="s">
        <v>4833</v>
      </c>
      <c r="E61" s="5" t="s">
        <v>4946</v>
      </c>
      <c r="F61" s="4" t="s">
        <v>4941</v>
      </c>
      <c r="G61" s="4" t="s">
        <v>872</v>
      </c>
    </row>
    <row r="62" customFormat="false" ht="21.75" hidden="false" customHeight="true" outlineLevel="0" collapsed="false">
      <c r="B62" s="6" t="s">
        <v>74</v>
      </c>
      <c r="C62" s="6" t="s">
        <v>4947</v>
      </c>
      <c r="D62" s="7" t="s">
        <v>4822</v>
      </c>
      <c r="E62" s="7" t="s">
        <v>4948</v>
      </c>
      <c r="F62" s="6" t="s">
        <v>4949</v>
      </c>
      <c r="G62" s="6" t="s">
        <v>888</v>
      </c>
    </row>
    <row r="63" customFormat="false" ht="21.75" hidden="false" customHeight="true" outlineLevel="0" collapsed="false">
      <c r="B63" s="4" t="s">
        <v>74</v>
      </c>
      <c r="C63" s="4" t="s">
        <v>4950</v>
      </c>
      <c r="D63" s="5" t="s">
        <v>4822</v>
      </c>
      <c r="E63" s="5" t="s">
        <v>4951</v>
      </c>
      <c r="F63" s="4" t="s">
        <v>4939</v>
      </c>
      <c r="G63" s="4" t="s">
        <v>935</v>
      </c>
    </row>
    <row r="64" customFormat="false" ht="21.75" hidden="false" customHeight="true" outlineLevel="0" collapsed="false">
      <c r="B64" s="6" t="s">
        <v>74</v>
      </c>
      <c r="C64" s="6" t="s">
        <v>4952</v>
      </c>
      <c r="D64" s="7" t="s">
        <v>4822</v>
      </c>
      <c r="E64" s="7" t="s">
        <v>4953</v>
      </c>
      <c r="F64" s="6" t="s">
        <v>4950</v>
      </c>
      <c r="G64" s="6" t="s">
        <v>919</v>
      </c>
    </row>
    <row r="65" customFormat="false" ht="21.75" hidden="false" customHeight="true" outlineLevel="0" collapsed="false">
      <c r="B65" s="4" t="s">
        <v>74</v>
      </c>
      <c r="C65" s="4" t="s">
        <v>4954</v>
      </c>
      <c r="D65" s="5" t="s">
        <v>4895</v>
      </c>
      <c r="E65" s="5" t="s">
        <v>4955</v>
      </c>
      <c r="F65" s="4" t="s">
        <v>4952</v>
      </c>
      <c r="G65" s="4" t="s">
        <v>959</v>
      </c>
    </row>
    <row r="66" customFormat="false" ht="21.75" hidden="false" customHeight="true" outlineLevel="0" collapsed="false">
      <c r="B66" s="6" t="s">
        <v>74</v>
      </c>
      <c r="C66" s="6" t="s">
        <v>4956</v>
      </c>
      <c r="D66" s="7" t="s">
        <v>4837</v>
      </c>
      <c r="E66" s="7" t="s">
        <v>4957</v>
      </c>
      <c r="F66" s="6" t="s">
        <v>4958</v>
      </c>
      <c r="G66" s="6" t="s">
        <v>967</v>
      </c>
    </row>
    <row r="67" customFormat="false" ht="21.75" hidden="false" customHeight="true" outlineLevel="0" collapsed="false">
      <c r="B67" s="4" t="s">
        <v>74</v>
      </c>
      <c r="C67" s="4" t="s">
        <v>4959</v>
      </c>
      <c r="D67" s="5" t="s">
        <v>4960</v>
      </c>
      <c r="E67" s="5" t="s">
        <v>4961</v>
      </c>
      <c r="F67" s="4" t="s">
        <v>4956</v>
      </c>
      <c r="G67" s="4" t="s">
        <v>991</v>
      </c>
    </row>
    <row r="68" customFormat="false" ht="21.75" hidden="false" customHeight="true" outlineLevel="0" collapsed="false">
      <c r="B68" s="6" t="s">
        <v>74</v>
      </c>
      <c r="C68" s="6" t="s">
        <v>4962</v>
      </c>
      <c r="D68" s="7" t="s">
        <v>4895</v>
      </c>
      <c r="E68" s="7" t="s">
        <v>4963</v>
      </c>
      <c r="F68" s="6" t="s">
        <v>4959</v>
      </c>
      <c r="G68" s="6" t="s">
        <v>999</v>
      </c>
    </row>
    <row r="69" customFormat="false" ht="21.75" hidden="false" customHeight="true" outlineLevel="0" collapsed="false">
      <c r="B69" s="4" t="s">
        <v>74</v>
      </c>
      <c r="C69" s="4" t="s">
        <v>4964</v>
      </c>
      <c r="D69" s="5" t="s">
        <v>4854</v>
      </c>
      <c r="E69" s="5" t="s">
        <v>4965</v>
      </c>
      <c r="F69" s="4" t="s">
        <v>4962</v>
      </c>
      <c r="G69" s="4" t="s">
        <v>1015</v>
      </c>
    </row>
    <row r="70" customFormat="false" ht="21.75" hidden="false" customHeight="true" outlineLevel="0" collapsed="false">
      <c r="B70" s="6" t="s">
        <v>81</v>
      </c>
      <c r="C70" s="6" t="s">
        <v>4966</v>
      </c>
      <c r="D70" s="7" t="s">
        <v>2</v>
      </c>
      <c r="E70" s="7" t="s">
        <v>4967</v>
      </c>
      <c r="F70" s="6"/>
      <c r="G70" s="6" t="s">
        <v>1094</v>
      </c>
    </row>
    <row r="71" customFormat="false" ht="21.75" hidden="false" customHeight="true" outlineLevel="0" collapsed="false">
      <c r="B71" s="4" t="s">
        <v>81</v>
      </c>
      <c r="C71" s="4" t="s">
        <v>4968</v>
      </c>
      <c r="D71" s="5" t="s">
        <v>4851</v>
      </c>
      <c r="E71" s="5" t="s">
        <v>4969</v>
      </c>
      <c r="F71" s="4"/>
      <c r="G71" s="4" t="s">
        <v>1063</v>
      </c>
    </row>
    <row r="72" customFormat="false" ht="21.75" hidden="false" customHeight="true" outlineLevel="0" collapsed="false">
      <c r="B72" s="6" t="s">
        <v>81</v>
      </c>
      <c r="C72" s="6" t="s">
        <v>4970</v>
      </c>
      <c r="D72" s="7" t="s">
        <v>4822</v>
      </c>
      <c r="E72" s="7" t="s">
        <v>4971</v>
      </c>
      <c r="F72" s="6" t="s">
        <v>4968</v>
      </c>
      <c r="G72" s="6" t="s">
        <v>1071</v>
      </c>
    </row>
    <row r="73" customFormat="false" ht="21.75" hidden="false" customHeight="true" outlineLevel="0" collapsed="false">
      <c r="B73" s="4" t="s">
        <v>81</v>
      </c>
      <c r="C73" s="4" t="s">
        <v>4972</v>
      </c>
      <c r="D73" s="5" t="s">
        <v>4822</v>
      </c>
      <c r="E73" s="5" t="s">
        <v>4973</v>
      </c>
      <c r="F73" s="4" t="s">
        <v>4968</v>
      </c>
      <c r="G73" s="4" t="s">
        <v>1079</v>
      </c>
    </row>
    <row r="74" customFormat="false" ht="21.75" hidden="false" customHeight="true" outlineLevel="0" collapsed="false">
      <c r="B74" s="6" t="s">
        <v>81</v>
      </c>
      <c r="C74" s="6" t="s">
        <v>4974</v>
      </c>
      <c r="D74" s="7" t="s">
        <v>4822</v>
      </c>
      <c r="E74" s="7" t="s">
        <v>4975</v>
      </c>
      <c r="F74" s="6" t="s">
        <v>4966</v>
      </c>
      <c r="G74" s="6" t="s">
        <v>1094</v>
      </c>
    </row>
    <row r="75" customFormat="false" ht="21.75" hidden="false" customHeight="true" outlineLevel="0" collapsed="false">
      <c r="B75" s="4" t="s">
        <v>81</v>
      </c>
      <c r="C75" s="4" t="s">
        <v>4976</v>
      </c>
      <c r="D75" s="5" t="s">
        <v>4895</v>
      </c>
      <c r="E75" s="5" t="s">
        <v>4977</v>
      </c>
      <c r="F75" s="4" t="s">
        <v>4978</v>
      </c>
      <c r="G75" s="4" t="s">
        <v>1134</v>
      </c>
    </row>
    <row r="76" customFormat="false" ht="21.75" hidden="false" customHeight="true" outlineLevel="0" collapsed="false">
      <c r="B76" s="6" t="s">
        <v>81</v>
      </c>
      <c r="C76" s="6" t="s">
        <v>4979</v>
      </c>
      <c r="D76" s="7" t="s">
        <v>4833</v>
      </c>
      <c r="E76" s="7" t="s">
        <v>4980</v>
      </c>
      <c r="F76" s="6" t="s">
        <v>4976</v>
      </c>
      <c r="G76" s="6" t="s">
        <v>1110</v>
      </c>
    </row>
    <row r="77" customFormat="false" ht="21.75" hidden="false" customHeight="true" outlineLevel="0" collapsed="false">
      <c r="B77" s="4" t="s">
        <v>81</v>
      </c>
      <c r="C77" s="4" t="s">
        <v>4981</v>
      </c>
      <c r="D77" s="5" t="s">
        <v>4822</v>
      </c>
      <c r="E77" s="5" t="s">
        <v>4982</v>
      </c>
      <c r="F77" s="4" t="s">
        <v>4979</v>
      </c>
      <c r="G77" s="4" t="s">
        <v>1142</v>
      </c>
    </row>
    <row r="78" customFormat="false" ht="21.75" hidden="false" customHeight="true" outlineLevel="0" collapsed="false">
      <c r="B78" s="6" t="s">
        <v>81</v>
      </c>
      <c r="C78" s="6" t="s">
        <v>4983</v>
      </c>
      <c r="D78" s="7" t="s">
        <v>4895</v>
      </c>
      <c r="E78" s="7" t="s">
        <v>4984</v>
      </c>
      <c r="F78" s="6" t="s">
        <v>4985</v>
      </c>
      <c r="G78" s="6" t="s">
        <v>1150</v>
      </c>
    </row>
    <row r="79" customFormat="false" ht="21.75" hidden="false" customHeight="true" outlineLevel="0" collapsed="false">
      <c r="B79" s="4" t="s">
        <v>81</v>
      </c>
      <c r="C79" s="4" t="s">
        <v>4986</v>
      </c>
      <c r="D79" s="5" t="s">
        <v>4837</v>
      </c>
      <c r="E79" s="5" t="s">
        <v>4987</v>
      </c>
      <c r="F79" s="4" t="s">
        <v>4988</v>
      </c>
      <c r="G79" s="4" t="s">
        <v>1166</v>
      </c>
    </row>
    <row r="80" customFormat="false" ht="21.75" hidden="false" customHeight="true" outlineLevel="0" collapsed="false">
      <c r="B80" s="6" t="s">
        <v>81</v>
      </c>
      <c r="C80" s="6" t="s">
        <v>4989</v>
      </c>
      <c r="D80" s="7" t="s">
        <v>4837</v>
      </c>
      <c r="E80" s="7" t="s">
        <v>4990</v>
      </c>
      <c r="F80" s="6" t="s">
        <v>4991</v>
      </c>
      <c r="G80" s="6" t="s">
        <v>1182</v>
      </c>
    </row>
    <row r="81" customFormat="false" ht="21.75" hidden="false" customHeight="true" outlineLevel="0" collapsed="false">
      <c r="B81" s="4" t="s">
        <v>81</v>
      </c>
      <c r="C81" s="4" t="s">
        <v>4992</v>
      </c>
      <c r="D81" s="5" t="s">
        <v>4837</v>
      </c>
      <c r="E81" s="5" t="s">
        <v>4993</v>
      </c>
      <c r="F81" s="4" t="s">
        <v>4979</v>
      </c>
      <c r="G81" s="4" t="s">
        <v>1214</v>
      </c>
    </row>
    <row r="82" customFormat="false" ht="21.75" hidden="false" customHeight="true" outlineLevel="0" collapsed="false">
      <c r="B82" s="6" t="s">
        <v>87</v>
      </c>
      <c r="C82" s="6" t="s">
        <v>4994</v>
      </c>
      <c r="D82" s="7" t="s">
        <v>2</v>
      </c>
      <c r="E82" s="7" t="s">
        <v>4995</v>
      </c>
      <c r="F82" s="6"/>
      <c r="G82" s="6" t="s">
        <v>1292</v>
      </c>
    </row>
    <row r="83" customFormat="false" ht="21.75" hidden="false" customHeight="true" outlineLevel="0" collapsed="false">
      <c r="B83" s="4" t="s">
        <v>87</v>
      </c>
      <c r="C83" s="4" t="s">
        <v>4996</v>
      </c>
      <c r="D83" s="5" t="s">
        <v>2</v>
      </c>
      <c r="E83" s="5" t="s">
        <v>4997</v>
      </c>
      <c r="F83" s="4" t="s">
        <v>4994</v>
      </c>
      <c r="G83" s="4" t="s">
        <v>1253</v>
      </c>
    </row>
    <row r="84" customFormat="false" ht="21.75" hidden="false" customHeight="true" outlineLevel="0" collapsed="false">
      <c r="B84" s="6" t="s">
        <v>87</v>
      </c>
      <c r="C84" s="6" t="s">
        <v>4998</v>
      </c>
      <c r="D84" s="7" t="s">
        <v>4822</v>
      </c>
      <c r="E84" s="7" t="s">
        <v>4999</v>
      </c>
      <c r="F84" s="6" t="s">
        <v>4996</v>
      </c>
      <c r="G84" s="6" t="s">
        <v>1261</v>
      </c>
    </row>
    <row r="85" customFormat="false" ht="21.75" hidden="false" customHeight="true" outlineLevel="0" collapsed="false">
      <c r="B85" s="4" t="s">
        <v>87</v>
      </c>
      <c r="C85" s="4" t="s">
        <v>5000</v>
      </c>
      <c r="D85" s="5" t="s">
        <v>4822</v>
      </c>
      <c r="E85" s="5" t="s">
        <v>5001</v>
      </c>
      <c r="F85" s="4" t="s">
        <v>4996</v>
      </c>
      <c r="G85" s="4" t="s">
        <v>1269</v>
      </c>
    </row>
    <row r="86" customFormat="false" ht="21.75" hidden="false" customHeight="true" outlineLevel="0" collapsed="false">
      <c r="B86" s="6" t="s">
        <v>87</v>
      </c>
      <c r="C86" s="6" t="s">
        <v>5002</v>
      </c>
      <c r="D86" s="7" t="s">
        <v>4960</v>
      </c>
      <c r="E86" s="7" t="s">
        <v>5003</v>
      </c>
      <c r="F86" s="6" t="s">
        <v>5004</v>
      </c>
      <c r="G86" s="6" t="s">
        <v>1338</v>
      </c>
    </row>
    <row r="87" customFormat="false" ht="21.75" hidden="false" customHeight="true" outlineLevel="0" collapsed="false">
      <c r="B87" s="4" t="s">
        <v>87</v>
      </c>
      <c r="C87" s="4" t="s">
        <v>5005</v>
      </c>
      <c r="D87" s="5" t="s">
        <v>4895</v>
      </c>
      <c r="E87" s="5" t="s">
        <v>5006</v>
      </c>
      <c r="F87" s="4" t="s">
        <v>5002</v>
      </c>
      <c r="G87" s="4" t="s">
        <v>1330</v>
      </c>
    </row>
    <row r="88" customFormat="false" ht="21.75" hidden="false" customHeight="true" outlineLevel="0" collapsed="false">
      <c r="B88" s="6" t="s">
        <v>87</v>
      </c>
      <c r="C88" s="6" t="s">
        <v>5007</v>
      </c>
      <c r="D88" s="7" t="s">
        <v>4833</v>
      </c>
      <c r="E88" s="7" t="s">
        <v>5008</v>
      </c>
      <c r="F88" s="6" t="s">
        <v>4996</v>
      </c>
      <c r="G88" s="6" t="s">
        <v>1346</v>
      </c>
    </row>
    <row r="89" customFormat="false" ht="21.75" hidden="false" customHeight="true" outlineLevel="0" collapsed="false">
      <c r="B89" s="4" t="s">
        <v>87</v>
      </c>
      <c r="C89" s="4" t="s">
        <v>5009</v>
      </c>
      <c r="D89" s="5" t="s">
        <v>4837</v>
      </c>
      <c r="E89" s="5" t="s">
        <v>5010</v>
      </c>
      <c r="F89" s="4" t="s">
        <v>5002</v>
      </c>
      <c r="G89" s="4" t="s">
        <v>1362</v>
      </c>
    </row>
    <row r="90" customFormat="false" ht="21.75" hidden="false" customHeight="true" outlineLevel="0" collapsed="false">
      <c r="B90" s="6" t="s">
        <v>87</v>
      </c>
      <c r="C90" s="6" t="s">
        <v>5011</v>
      </c>
      <c r="D90" s="7" t="s">
        <v>4851</v>
      </c>
      <c r="E90" s="7" t="s">
        <v>5012</v>
      </c>
      <c r="F90" s="6" t="s">
        <v>5013</v>
      </c>
      <c r="G90" s="6" t="s">
        <v>1370</v>
      </c>
    </row>
    <row r="91" customFormat="false" ht="21.75" hidden="false" customHeight="true" outlineLevel="0" collapsed="false">
      <c r="B91" s="4" t="s">
        <v>87</v>
      </c>
      <c r="C91" s="4" t="s">
        <v>5014</v>
      </c>
      <c r="D91" s="5" t="s">
        <v>4960</v>
      </c>
      <c r="E91" s="5" t="s">
        <v>5015</v>
      </c>
      <c r="F91" s="4" t="s">
        <v>5011</v>
      </c>
      <c r="G91" s="4" t="s">
        <v>1378</v>
      </c>
    </row>
    <row r="92" customFormat="false" ht="21.75" hidden="false" customHeight="true" outlineLevel="0" collapsed="false">
      <c r="B92" s="6" t="s">
        <v>87</v>
      </c>
      <c r="C92" s="6" t="s">
        <v>5016</v>
      </c>
      <c r="D92" s="7" t="s">
        <v>4854</v>
      </c>
      <c r="E92" s="7" t="s">
        <v>5017</v>
      </c>
      <c r="F92" s="6" t="s">
        <v>5011</v>
      </c>
      <c r="G92" s="6" t="s">
        <v>1393</v>
      </c>
    </row>
    <row r="93" customFormat="false" ht="21.75" hidden="false" customHeight="true" outlineLevel="0" collapsed="false">
      <c r="B93" s="4" t="s">
        <v>87</v>
      </c>
      <c r="C93" s="4" t="s">
        <v>5018</v>
      </c>
      <c r="D93" s="5" t="s">
        <v>4822</v>
      </c>
      <c r="E93" s="5" t="s">
        <v>5019</v>
      </c>
      <c r="F93" s="4" t="s">
        <v>5020</v>
      </c>
      <c r="G93" s="4" t="s">
        <v>1299</v>
      </c>
    </row>
    <row r="94" customFormat="false" ht="21.75" hidden="false" customHeight="true" outlineLevel="0" collapsed="false">
      <c r="B94" s="6" t="s">
        <v>93</v>
      </c>
      <c r="C94" s="6" t="s">
        <v>5021</v>
      </c>
      <c r="D94" s="7" t="s">
        <v>4854</v>
      </c>
      <c r="E94" s="7" t="s">
        <v>5022</v>
      </c>
      <c r="F94" s="6"/>
      <c r="G94" s="6" t="s">
        <v>1440</v>
      </c>
    </row>
    <row r="95" customFormat="false" ht="21.75" hidden="false" customHeight="true" outlineLevel="0" collapsed="false">
      <c r="B95" s="4" t="s">
        <v>93</v>
      </c>
      <c r="C95" s="4" t="s">
        <v>5023</v>
      </c>
      <c r="D95" s="5" t="s">
        <v>4822</v>
      </c>
      <c r="E95" s="5" t="s">
        <v>5024</v>
      </c>
      <c r="F95" s="4" t="s">
        <v>5021</v>
      </c>
      <c r="G95" s="4" t="s">
        <v>1448</v>
      </c>
    </row>
    <row r="96" customFormat="false" ht="21.75" hidden="false" customHeight="true" outlineLevel="0" collapsed="false">
      <c r="B96" s="6" t="s">
        <v>93</v>
      </c>
      <c r="C96" s="6" t="s">
        <v>5025</v>
      </c>
      <c r="D96" s="7" t="s">
        <v>4837</v>
      </c>
      <c r="E96" s="7" t="s">
        <v>5026</v>
      </c>
      <c r="F96" s="6" t="s">
        <v>5023</v>
      </c>
      <c r="G96" s="6" t="s">
        <v>1479</v>
      </c>
    </row>
    <row r="97" customFormat="false" ht="21.75" hidden="false" customHeight="true" outlineLevel="0" collapsed="false">
      <c r="B97" s="4" t="s">
        <v>93</v>
      </c>
      <c r="C97" s="4" t="s">
        <v>5027</v>
      </c>
      <c r="D97" s="5" t="s">
        <v>4833</v>
      </c>
      <c r="E97" s="5" t="s">
        <v>5028</v>
      </c>
      <c r="F97" s="4" t="s">
        <v>5025</v>
      </c>
      <c r="G97" s="4" t="s">
        <v>1471</v>
      </c>
    </row>
    <row r="98" customFormat="false" ht="21.75" hidden="false" customHeight="true" outlineLevel="0" collapsed="false">
      <c r="B98" s="6" t="s">
        <v>93</v>
      </c>
      <c r="C98" s="6" t="s">
        <v>5029</v>
      </c>
      <c r="D98" s="7" t="s">
        <v>4851</v>
      </c>
      <c r="E98" s="7" t="s">
        <v>5030</v>
      </c>
      <c r="F98" s="6" t="s">
        <v>5031</v>
      </c>
      <c r="G98" s="6" t="s">
        <v>1487</v>
      </c>
    </row>
    <row r="99" customFormat="false" ht="21.75" hidden="false" customHeight="true" outlineLevel="0" collapsed="false">
      <c r="B99" s="4" t="s">
        <v>93</v>
      </c>
      <c r="C99" s="4" t="s">
        <v>5032</v>
      </c>
      <c r="D99" s="5" t="s">
        <v>2</v>
      </c>
      <c r="E99" s="5" t="s">
        <v>5033</v>
      </c>
      <c r="F99" s="4" t="s">
        <v>5023</v>
      </c>
      <c r="G99" s="4" t="s">
        <v>1502</v>
      </c>
    </row>
    <row r="100" customFormat="false" ht="21.75" hidden="false" customHeight="true" outlineLevel="0" collapsed="false">
      <c r="B100" s="6" t="s">
        <v>93</v>
      </c>
      <c r="C100" s="6" t="s">
        <v>5034</v>
      </c>
      <c r="D100" s="7" t="s">
        <v>4895</v>
      </c>
      <c r="E100" s="7" t="s">
        <v>5035</v>
      </c>
      <c r="F100" s="6"/>
      <c r="G100" s="6" t="s">
        <v>1518</v>
      </c>
    </row>
    <row r="101" customFormat="false" ht="21.75" hidden="false" customHeight="true" outlineLevel="0" collapsed="false">
      <c r="B101" s="4" t="s">
        <v>93</v>
      </c>
      <c r="C101" s="4" t="s">
        <v>5036</v>
      </c>
      <c r="D101" s="5" t="s">
        <v>4822</v>
      </c>
      <c r="E101" s="5" t="s">
        <v>5037</v>
      </c>
      <c r="F101" s="4" t="s">
        <v>5034</v>
      </c>
      <c r="G101" s="4" t="s">
        <v>1526</v>
      </c>
    </row>
    <row r="102" customFormat="false" ht="21.75" hidden="false" customHeight="true" outlineLevel="0" collapsed="false">
      <c r="B102" s="6" t="s">
        <v>93</v>
      </c>
      <c r="C102" s="6" t="s">
        <v>5038</v>
      </c>
      <c r="D102" s="7" t="s">
        <v>4854</v>
      </c>
      <c r="E102" s="7" t="s">
        <v>5039</v>
      </c>
      <c r="F102" s="6" t="s">
        <v>5036</v>
      </c>
      <c r="G102" s="6" t="s">
        <v>1558</v>
      </c>
    </row>
    <row r="103" customFormat="false" ht="21.75" hidden="false" customHeight="true" outlineLevel="0" collapsed="false">
      <c r="B103" s="4" t="s">
        <v>93</v>
      </c>
      <c r="C103" s="4" t="s">
        <v>5040</v>
      </c>
      <c r="D103" s="5" t="s">
        <v>4837</v>
      </c>
      <c r="E103" s="5" t="s">
        <v>5041</v>
      </c>
      <c r="F103" s="4" t="s">
        <v>5038</v>
      </c>
      <c r="G103" s="4" t="s">
        <v>1534</v>
      </c>
    </row>
    <row r="104" customFormat="false" ht="21.75" hidden="false" customHeight="true" outlineLevel="0" collapsed="false">
      <c r="B104" s="6" t="s">
        <v>93</v>
      </c>
      <c r="C104" s="6" t="s">
        <v>5042</v>
      </c>
      <c r="D104" s="7" t="s">
        <v>4837</v>
      </c>
      <c r="E104" s="7" t="s">
        <v>5043</v>
      </c>
      <c r="F104" s="6" t="s">
        <v>5038</v>
      </c>
      <c r="G104" s="6" t="s">
        <v>1542</v>
      </c>
    </row>
    <row r="105" customFormat="false" ht="21.75" hidden="false" customHeight="true" outlineLevel="0" collapsed="false">
      <c r="B105" s="4" t="s">
        <v>93</v>
      </c>
      <c r="C105" s="4" t="s">
        <v>5044</v>
      </c>
      <c r="D105" s="5" t="s">
        <v>4851</v>
      </c>
      <c r="E105" s="5" t="s">
        <v>5045</v>
      </c>
      <c r="F105" s="4"/>
      <c r="G105" s="4" t="s">
        <v>1510</v>
      </c>
    </row>
    <row r="106" customFormat="false" ht="21.75" hidden="false" customHeight="true" outlineLevel="0" collapsed="false">
      <c r="B106" s="6" t="s">
        <v>99</v>
      </c>
      <c r="C106" s="6" t="s">
        <v>5046</v>
      </c>
      <c r="D106" s="7" t="s">
        <v>4851</v>
      </c>
      <c r="E106" s="7" t="s">
        <v>5047</v>
      </c>
      <c r="F106" s="6"/>
      <c r="G106" s="6" t="s">
        <v>1751</v>
      </c>
    </row>
    <row r="107" customFormat="false" ht="21.75" hidden="false" customHeight="true" outlineLevel="0" collapsed="false">
      <c r="B107" s="4" t="s">
        <v>99</v>
      </c>
      <c r="C107" s="4" t="s">
        <v>5048</v>
      </c>
      <c r="D107" s="5" t="s">
        <v>2</v>
      </c>
      <c r="E107" s="5" t="s">
        <v>5049</v>
      </c>
      <c r="F107" s="4"/>
      <c r="G107" s="4" t="s">
        <v>1719</v>
      </c>
    </row>
    <row r="108" customFormat="false" ht="21.75" hidden="false" customHeight="true" outlineLevel="0" collapsed="false">
      <c r="B108" s="6" t="s">
        <v>99</v>
      </c>
      <c r="C108" s="6" t="s">
        <v>5050</v>
      </c>
      <c r="D108" s="7" t="s">
        <v>4960</v>
      </c>
      <c r="E108" s="7" t="s">
        <v>5051</v>
      </c>
      <c r="F108" s="6" t="s">
        <v>5048</v>
      </c>
      <c r="G108" s="6" t="s">
        <v>1566</v>
      </c>
    </row>
    <row r="109" customFormat="false" ht="21.75" hidden="false" customHeight="true" outlineLevel="0" collapsed="false">
      <c r="B109" s="4" t="s">
        <v>99</v>
      </c>
      <c r="C109" s="4" t="s">
        <v>5052</v>
      </c>
      <c r="D109" s="5" t="s">
        <v>2</v>
      </c>
      <c r="E109" s="5" t="s">
        <v>5053</v>
      </c>
      <c r="F109" s="4"/>
      <c r="G109" s="4" t="s">
        <v>1597</v>
      </c>
    </row>
    <row r="110" customFormat="false" ht="21.75" hidden="false" customHeight="true" outlineLevel="0" collapsed="false">
      <c r="B110" s="6" t="s">
        <v>99</v>
      </c>
      <c r="C110" s="6" t="s">
        <v>5054</v>
      </c>
      <c r="D110" s="7" t="s">
        <v>4822</v>
      </c>
      <c r="E110" s="7" t="s">
        <v>5055</v>
      </c>
      <c r="F110" s="6" t="s">
        <v>5052</v>
      </c>
      <c r="G110" s="6" t="s">
        <v>1663</v>
      </c>
    </row>
    <row r="111" customFormat="false" ht="21.75" hidden="false" customHeight="true" outlineLevel="0" collapsed="false">
      <c r="B111" s="4" t="s">
        <v>99</v>
      </c>
      <c r="C111" s="4" t="s">
        <v>5056</v>
      </c>
      <c r="D111" s="5" t="s">
        <v>4822</v>
      </c>
      <c r="E111" s="5" t="s">
        <v>5057</v>
      </c>
      <c r="F111" s="4" t="s">
        <v>5058</v>
      </c>
      <c r="G111" s="4" t="s">
        <v>1589</v>
      </c>
    </row>
    <row r="112" customFormat="false" ht="21.75" hidden="false" customHeight="true" outlineLevel="0" collapsed="false">
      <c r="B112" s="6" t="s">
        <v>99</v>
      </c>
      <c r="C112" s="6" t="s">
        <v>5059</v>
      </c>
      <c r="D112" s="7" t="s">
        <v>4822</v>
      </c>
      <c r="E112" s="7" t="s">
        <v>5060</v>
      </c>
      <c r="F112" s="6" t="s">
        <v>5050</v>
      </c>
      <c r="G112" s="6" t="s">
        <v>1632</v>
      </c>
    </row>
    <row r="113" customFormat="false" ht="21.75" hidden="false" customHeight="true" outlineLevel="0" collapsed="false">
      <c r="B113" s="4" t="s">
        <v>99</v>
      </c>
      <c r="C113" s="4" t="s">
        <v>5061</v>
      </c>
      <c r="D113" s="5" t="s">
        <v>4822</v>
      </c>
      <c r="E113" s="5" t="s">
        <v>5062</v>
      </c>
      <c r="F113" s="4" t="s">
        <v>5052</v>
      </c>
      <c r="G113" s="4" t="s">
        <v>1671</v>
      </c>
    </row>
    <row r="114" customFormat="false" ht="21.75" hidden="false" customHeight="true" outlineLevel="0" collapsed="false">
      <c r="B114" s="6" t="s">
        <v>99</v>
      </c>
      <c r="C114" s="6" t="s">
        <v>5063</v>
      </c>
      <c r="D114" s="7" t="s">
        <v>4822</v>
      </c>
      <c r="E114" s="7" t="s">
        <v>5064</v>
      </c>
      <c r="F114" s="6" t="s">
        <v>5065</v>
      </c>
      <c r="G114" s="6" t="s">
        <v>1679</v>
      </c>
    </row>
    <row r="115" customFormat="false" ht="21.75" hidden="false" customHeight="true" outlineLevel="0" collapsed="false">
      <c r="B115" s="4" t="s">
        <v>99</v>
      </c>
      <c r="C115" s="4" t="s">
        <v>5066</v>
      </c>
      <c r="D115" s="5" t="s">
        <v>4837</v>
      </c>
      <c r="E115" s="5" t="s">
        <v>5067</v>
      </c>
      <c r="F115" s="4" t="s">
        <v>5068</v>
      </c>
      <c r="G115" s="4" t="s">
        <v>1597</v>
      </c>
    </row>
    <row r="116" customFormat="false" ht="21.75" hidden="false" customHeight="true" outlineLevel="0" collapsed="false">
      <c r="B116" s="6" t="s">
        <v>99</v>
      </c>
      <c r="C116" s="6" t="s">
        <v>5069</v>
      </c>
      <c r="D116" s="7" t="s">
        <v>4851</v>
      </c>
      <c r="E116" s="7" t="s">
        <v>5070</v>
      </c>
      <c r="F116" s="6"/>
      <c r="G116" s="6" t="s">
        <v>1735</v>
      </c>
    </row>
    <row r="117" customFormat="false" ht="21.75" hidden="false" customHeight="true" outlineLevel="0" collapsed="false">
      <c r="B117" s="4" t="s">
        <v>99</v>
      </c>
      <c r="C117" s="4" t="s">
        <v>5071</v>
      </c>
      <c r="D117" s="5" t="s">
        <v>4822</v>
      </c>
      <c r="E117" s="5" t="s">
        <v>5072</v>
      </c>
      <c r="F117" s="4" t="s">
        <v>5073</v>
      </c>
      <c r="G117" s="4" t="s">
        <v>1711</v>
      </c>
    </row>
    <row r="118" customFormat="false" ht="21.75" hidden="false" customHeight="true" outlineLevel="0" collapsed="false">
      <c r="B118" s="6" t="s">
        <v>99</v>
      </c>
      <c r="C118" s="6" t="s">
        <v>5074</v>
      </c>
      <c r="D118" s="7" t="s">
        <v>4833</v>
      </c>
      <c r="E118" s="7" t="s">
        <v>5075</v>
      </c>
      <c r="F118" s="6" t="s">
        <v>5056</v>
      </c>
      <c r="G118" s="6" t="s">
        <v>1751</v>
      </c>
    </row>
    <row r="119" customFormat="false" ht="21.75" hidden="false" customHeight="true" outlineLevel="0" collapsed="false">
      <c r="B119" s="4" t="s">
        <v>99</v>
      </c>
      <c r="C119" s="4" t="s">
        <v>5076</v>
      </c>
      <c r="D119" s="5" t="s">
        <v>4854</v>
      </c>
      <c r="E119" s="5" t="s">
        <v>5077</v>
      </c>
      <c r="F119" s="4" t="s">
        <v>5078</v>
      </c>
      <c r="G119" s="4" t="s">
        <v>1574</v>
      </c>
    </row>
    <row r="120" customFormat="false" ht="21.75" hidden="false" customHeight="true" outlineLevel="0" collapsed="false">
      <c r="B120" s="6" t="s">
        <v>106</v>
      </c>
      <c r="C120" s="6" t="s">
        <v>5079</v>
      </c>
      <c r="D120" s="7" t="s">
        <v>4854</v>
      </c>
      <c r="E120" s="7" t="s">
        <v>5080</v>
      </c>
      <c r="F120" s="6"/>
      <c r="G120" s="6" t="s">
        <v>1782</v>
      </c>
    </row>
    <row r="121" customFormat="false" ht="21.75" hidden="false" customHeight="true" outlineLevel="0" collapsed="false">
      <c r="B121" s="4" t="s">
        <v>106</v>
      </c>
      <c r="C121" s="4" t="s">
        <v>5081</v>
      </c>
      <c r="D121" s="5" t="s">
        <v>4822</v>
      </c>
      <c r="E121" s="5" t="s">
        <v>5082</v>
      </c>
      <c r="F121" s="4" t="s">
        <v>5079</v>
      </c>
      <c r="G121" s="4" t="s">
        <v>1802</v>
      </c>
    </row>
    <row r="122" customFormat="false" ht="21.75" hidden="false" customHeight="true" outlineLevel="0" collapsed="false">
      <c r="B122" s="6" t="s">
        <v>106</v>
      </c>
      <c r="C122" s="6" t="s">
        <v>5083</v>
      </c>
      <c r="D122" s="7" t="s">
        <v>4837</v>
      </c>
      <c r="E122" s="7" t="s">
        <v>5084</v>
      </c>
      <c r="F122" s="6" t="s">
        <v>5085</v>
      </c>
      <c r="G122" s="6" t="s">
        <v>1809</v>
      </c>
    </row>
    <row r="123" customFormat="false" ht="21.75" hidden="false" customHeight="true" outlineLevel="0" collapsed="false">
      <c r="B123" s="4" t="s">
        <v>106</v>
      </c>
      <c r="C123" s="4" t="s">
        <v>5086</v>
      </c>
      <c r="D123" s="5" t="s">
        <v>4895</v>
      </c>
      <c r="E123" s="5" t="s">
        <v>5087</v>
      </c>
      <c r="F123" s="4" t="s">
        <v>5083</v>
      </c>
      <c r="G123" s="4" t="s">
        <v>1815</v>
      </c>
    </row>
    <row r="124" customFormat="false" ht="21.75" hidden="false" customHeight="true" outlineLevel="0" collapsed="false">
      <c r="B124" s="6" t="s">
        <v>106</v>
      </c>
      <c r="C124" s="6" t="s">
        <v>5088</v>
      </c>
      <c r="D124" s="7" t="s">
        <v>4833</v>
      </c>
      <c r="E124" s="7" t="s">
        <v>5089</v>
      </c>
      <c r="F124" s="6" t="s">
        <v>5086</v>
      </c>
      <c r="G124" s="6" t="s">
        <v>1847</v>
      </c>
    </row>
    <row r="125" customFormat="false" ht="21.75" hidden="false" customHeight="true" outlineLevel="0" collapsed="false">
      <c r="B125" s="4" t="s">
        <v>106</v>
      </c>
      <c r="C125" s="4" t="s">
        <v>5090</v>
      </c>
      <c r="D125" s="5" t="s">
        <v>4837</v>
      </c>
      <c r="E125" s="5" t="s">
        <v>5091</v>
      </c>
      <c r="F125" s="4" t="s">
        <v>5092</v>
      </c>
      <c r="G125" s="4" t="s">
        <v>1823</v>
      </c>
    </row>
    <row r="126" customFormat="false" ht="21.75" hidden="false" customHeight="true" outlineLevel="0" collapsed="false">
      <c r="B126" s="6" t="s">
        <v>106</v>
      </c>
      <c r="C126" s="6" t="s">
        <v>5093</v>
      </c>
      <c r="D126" s="7" t="s">
        <v>4897</v>
      </c>
      <c r="E126" s="7" t="s">
        <v>5094</v>
      </c>
      <c r="F126" s="6" t="s">
        <v>5086</v>
      </c>
      <c r="G126" s="6" t="s">
        <v>1839</v>
      </c>
    </row>
    <row r="127" customFormat="false" ht="21.75" hidden="false" customHeight="true" outlineLevel="0" collapsed="false">
      <c r="B127" s="4" t="s">
        <v>106</v>
      </c>
      <c r="C127" s="4" t="s">
        <v>5095</v>
      </c>
      <c r="D127" s="5" t="s">
        <v>4854</v>
      </c>
      <c r="E127" s="5" t="s">
        <v>5096</v>
      </c>
      <c r="F127" s="4"/>
      <c r="G127" s="4" t="s">
        <v>1794</v>
      </c>
    </row>
    <row r="128" customFormat="false" ht="21.75" hidden="false" customHeight="true" outlineLevel="0" collapsed="false">
      <c r="B128" s="6" t="s">
        <v>106</v>
      </c>
      <c r="C128" s="6" t="s">
        <v>5097</v>
      </c>
      <c r="D128" s="7" t="s">
        <v>4822</v>
      </c>
      <c r="E128" s="7" t="s">
        <v>5098</v>
      </c>
      <c r="F128" s="6" t="s">
        <v>5095</v>
      </c>
      <c r="G128" s="6" t="s">
        <v>1831</v>
      </c>
    </row>
    <row r="129" customFormat="false" ht="21.75" hidden="false" customHeight="true" outlineLevel="0" collapsed="false">
      <c r="B129" s="4" t="s">
        <v>106</v>
      </c>
      <c r="C129" s="4" t="s">
        <v>5099</v>
      </c>
      <c r="D129" s="5" t="s">
        <v>4854</v>
      </c>
      <c r="E129" s="5" t="s">
        <v>5100</v>
      </c>
      <c r="F129" s="4" t="s">
        <v>5101</v>
      </c>
      <c r="G129" s="4" t="s">
        <v>1898</v>
      </c>
    </row>
    <row r="130" customFormat="false" ht="21.75" hidden="false" customHeight="true" outlineLevel="0" collapsed="false">
      <c r="B130" s="6" t="s">
        <v>106</v>
      </c>
      <c r="C130" s="6" t="s">
        <v>5102</v>
      </c>
      <c r="D130" s="7" t="s">
        <v>4960</v>
      </c>
      <c r="E130" s="7" t="s">
        <v>5103</v>
      </c>
      <c r="F130" s="6" t="s">
        <v>5095</v>
      </c>
      <c r="G130" s="6" t="s">
        <v>1877</v>
      </c>
    </row>
    <row r="131" customFormat="false" ht="21.75" hidden="false" customHeight="true" outlineLevel="0" collapsed="false">
      <c r="B131" s="4" t="s">
        <v>106</v>
      </c>
      <c r="C131" s="4" t="s">
        <v>5104</v>
      </c>
      <c r="D131" s="5" t="s">
        <v>2</v>
      </c>
      <c r="E131" s="5" t="s">
        <v>5105</v>
      </c>
      <c r="F131" s="4"/>
      <c r="G131" s="4" t="s">
        <v>1884</v>
      </c>
    </row>
    <row r="132" customFormat="false" ht="21.75" hidden="false" customHeight="true" outlineLevel="0" collapsed="false">
      <c r="B132" s="6" t="s">
        <v>112</v>
      </c>
      <c r="C132" s="6" t="s">
        <v>5106</v>
      </c>
      <c r="D132" s="7" t="s">
        <v>2</v>
      </c>
      <c r="E132" s="7" t="s">
        <v>5107</v>
      </c>
      <c r="F132" s="6"/>
      <c r="G132" s="6" t="s">
        <v>2058</v>
      </c>
    </row>
    <row r="133" customFormat="false" ht="21.75" hidden="false" customHeight="true" outlineLevel="0" collapsed="false">
      <c r="B133" s="4" t="s">
        <v>112</v>
      </c>
      <c r="C133" s="4" t="s">
        <v>5108</v>
      </c>
      <c r="D133" s="5" t="s">
        <v>4854</v>
      </c>
      <c r="E133" s="5" t="s">
        <v>5109</v>
      </c>
      <c r="F133" s="4" t="s">
        <v>5106</v>
      </c>
      <c r="G133" s="4" t="s">
        <v>2044</v>
      </c>
    </row>
    <row r="134" customFormat="false" ht="21.75" hidden="false" customHeight="true" outlineLevel="0" collapsed="false">
      <c r="B134" s="6" t="s">
        <v>112</v>
      </c>
      <c r="C134" s="6" t="s">
        <v>5110</v>
      </c>
      <c r="D134" s="7" t="s">
        <v>4822</v>
      </c>
      <c r="E134" s="7" t="s">
        <v>5111</v>
      </c>
      <c r="F134" s="6" t="s">
        <v>5108</v>
      </c>
      <c r="G134" s="6" t="s">
        <v>1913</v>
      </c>
    </row>
    <row r="135" customFormat="false" ht="21.75" hidden="false" customHeight="true" outlineLevel="0" collapsed="false">
      <c r="B135" s="4" t="s">
        <v>112</v>
      </c>
      <c r="C135" s="4" t="s">
        <v>5112</v>
      </c>
      <c r="D135" s="5" t="s">
        <v>4822</v>
      </c>
      <c r="E135" s="5" t="s">
        <v>5113</v>
      </c>
      <c r="F135" s="4" t="s">
        <v>5110</v>
      </c>
      <c r="G135" s="4" t="s">
        <v>1921</v>
      </c>
    </row>
    <row r="136" customFormat="false" ht="21.75" hidden="false" customHeight="true" outlineLevel="0" collapsed="false">
      <c r="B136" s="6" t="s">
        <v>112</v>
      </c>
      <c r="C136" s="6" t="s">
        <v>5114</v>
      </c>
      <c r="D136" s="7" t="s">
        <v>4833</v>
      </c>
      <c r="E136" s="7" t="s">
        <v>5115</v>
      </c>
      <c r="F136" s="6" t="s">
        <v>5116</v>
      </c>
      <c r="G136" s="6" t="s">
        <v>1928</v>
      </c>
    </row>
    <row r="137" customFormat="false" ht="21.75" hidden="false" customHeight="true" outlineLevel="0" collapsed="false">
      <c r="B137" s="4" t="s">
        <v>112</v>
      </c>
      <c r="C137" s="4" t="s">
        <v>5117</v>
      </c>
      <c r="D137" s="5" t="s">
        <v>2</v>
      </c>
      <c r="E137" s="5" t="s">
        <v>5118</v>
      </c>
      <c r="F137" s="4"/>
      <c r="G137" s="4" t="s">
        <v>1952</v>
      </c>
    </row>
    <row r="138" customFormat="false" ht="21.75" hidden="false" customHeight="true" outlineLevel="0" collapsed="false">
      <c r="B138" s="6" t="s">
        <v>112</v>
      </c>
      <c r="C138" s="6" t="s">
        <v>5119</v>
      </c>
      <c r="D138" s="7" t="s">
        <v>4837</v>
      </c>
      <c r="E138" s="7" t="s">
        <v>5120</v>
      </c>
      <c r="F138" s="6" t="s">
        <v>5117</v>
      </c>
      <c r="G138" s="6" t="s">
        <v>1944</v>
      </c>
    </row>
    <row r="139" customFormat="false" ht="21.75" hidden="false" customHeight="true" outlineLevel="0" collapsed="false">
      <c r="B139" s="4" t="s">
        <v>112</v>
      </c>
      <c r="C139" s="4" t="s">
        <v>5121</v>
      </c>
      <c r="D139" s="5" t="s">
        <v>4822</v>
      </c>
      <c r="E139" s="5" t="s">
        <v>5122</v>
      </c>
      <c r="F139" s="4"/>
      <c r="G139" s="4" t="s">
        <v>1973</v>
      </c>
    </row>
    <row r="140" customFormat="false" ht="21.75" hidden="false" customHeight="true" outlineLevel="0" collapsed="false">
      <c r="B140" s="6" t="s">
        <v>112</v>
      </c>
      <c r="C140" s="6" t="s">
        <v>5123</v>
      </c>
      <c r="D140" s="7" t="s">
        <v>4895</v>
      </c>
      <c r="E140" s="7" t="s">
        <v>5124</v>
      </c>
      <c r="F140" s="6" t="s">
        <v>5121</v>
      </c>
      <c r="G140" s="6" t="s">
        <v>1981</v>
      </c>
    </row>
    <row r="141" customFormat="false" ht="21.75" hidden="false" customHeight="true" outlineLevel="0" collapsed="false">
      <c r="B141" s="4" t="s">
        <v>112</v>
      </c>
      <c r="C141" s="4" t="s">
        <v>5125</v>
      </c>
      <c r="D141" s="5" t="s">
        <v>2</v>
      </c>
      <c r="E141" s="5" t="s">
        <v>5126</v>
      </c>
      <c r="F141" s="4"/>
      <c r="G141" s="4" t="s">
        <v>1996</v>
      </c>
    </row>
    <row r="142" customFormat="false" ht="21.75" hidden="false" customHeight="true" outlineLevel="0" collapsed="false">
      <c r="B142" s="6" t="s">
        <v>112</v>
      </c>
      <c r="C142" s="6" t="s">
        <v>5127</v>
      </c>
      <c r="D142" s="7" t="s">
        <v>4822</v>
      </c>
      <c r="E142" s="7" t="s">
        <v>5128</v>
      </c>
      <c r="F142" s="6" t="s">
        <v>5129</v>
      </c>
      <c r="G142" s="6" t="s">
        <v>2004</v>
      </c>
    </row>
    <row r="143" customFormat="false" ht="21.75" hidden="false" customHeight="true" outlineLevel="0" collapsed="false">
      <c r="B143" s="4" t="s">
        <v>112</v>
      </c>
      <c r="C143" s="4" t="s">
        <v>5130</v>
      </c>
      <c r="D143" s="5" t="s">
        <v>4837</v>
      </c>
      <c r="E143" s="5" t="s">
        <v>5131</v>
      </c>
      <c r="F143" s="4" t="s">
        <v>5108</v>
      </c>
      <c r="G143" s="4" t="s">
        <v>2012</v>
      </c>
    </row>
    <row r="144" customFormat="false" ht="21.75" hidden="false" customHeight="true" outlineLevel="0" collapsed="false">
      <c r="B144" s="6" t="s">
        <v>112</v>
      </c>
      <c r="C144" s="6" t="s">
        <v>5132</v>
      </c>
      <c r="D144" s="7" t="s">
        <v>4897</v>
      </c>
      <c r="E144" s="7" t="s">
        <v>5133</v>
      </c>
      <c r="F144" s="6" t="s">
        <v>5117</v>
      </c>
      <c r="G144" s="6" t="s">
        <v>2028</v>
      </c>
    </row>
    <row r="145" customFormat="false" ht="21.75" hidden="false" customHeight="true" outlineLevel="0" collapsed="false">
      <c r="B145" s="4" t="s">
        <v>112</v>
      </c>
      <c r="C145" s="4" t="s">
        <v>5134</v>
      </c>
      <c r="D145" s="5" t="s">
        <v>4833</v>
      </c>
      <c r="E145" s="5" t="s">
        <v>5135</v>
      </c>
      <c r="F145" s="4" t="s">
        <v>5132</v>
      </c>
      <c r="G145" s="4" t="s">
        <v>2036</v>
      </c>
    </row>
    <row r="146" customFormat="false" ht="21.75" hidden="false" customHeight="true" outlineLevel="0" collapsed="false">
      <c r="B146" s="6" t="s">
        <v>118</v>
      </c>
      <c r="C146" s="6" t="s">
        <v>5136</v>
      </c>
      <c r="D146" s="7" t="s">
        <v>4822</v>
      </c>
      <c r="E146" s="7" t="s">
        <v>5137</v>
      </c>
      <c r="F146" s="6"/>
      <c r="G146" s="6" t="s">
        <v>2081</v>
      </c>
    </row>
    <row r="147" customFormat="false" ht="21.75" hidden="false" customHeight="true" outlineLevel="0" collapsed="false">
      <c r="B147" s="4" t="s">
        <v>118</v>
      </c>
      <c r="C147" s="4" t="s">
        <v>5138</v>
      </c>
      <c r="D147" s="5" t="s">
        <v>4822</v>
      </c>
      <c r="E147" s="5" t="s">
        <v>5139</v>
      </c>
      <c r="F147" s="4"/>
      <c r="G147" s="4" t="s">
        <v>2087</v>
      </c>
    </row>
    <row r="148" customFormat="false" ht="21.75" hidden="false" customHeight="true" outlineLevel="0" collapsed="false">
      <c r="B148" s="6" t="s">
        <v>118</v>
      </c>
      <c r="C148" s="6" t="s">
        <v>5140</v>
      </c>
      <c r="D148" s="7" t="s">
        <v>4895</v>
      </c>
      <c r="E148" s="7" t="s">
        <v>5141</v>
      </c>
      <c r="F148" s="6"/>
      <c r="G148" s="6" t="s">
        <v>2136</v>
      </c>
    </row>
    <row r="149" customFormat="false" ht="21.75" hidden="false" customHeight="true" outlineLevel="0" collapsed="false">
      <c r="B149" s="4" t="s">
        <v>118</v>
      </c>
      <c r="C149" s="4" t="s">
        <v>2115</v>
      </c>
      <c r="D149" s="5" t="s">
        <v>4837</v>
      </c>
      <c r="E149" s="5" t="s">
        <v>5142</v>
      </c>
      <c r="F149" s="4" t="s">
        <v>5143</v>
      </c>
      <c r="G149" s="4" t="s">
        <v>2114</v>
      </c>
    </row>
    <row r="150" customFormat="false" ht="21.75" hidden="false" customHeight="true" outlineLevel="0" collapsed="false">
      <c r="B150" s="6" t="s">
        <v>118</v>
      </c>
      <c r="C150" s="6" t="s">
        <v>5144</v>
      </c>
      <c r="D150" s="7" t="s">
        <v>4833</v>
      </c>
      <c r="E150" s="7" t="s">
        <v>5145</v>
      </c>
      <c r="F150" s="6" t="s">
        <v>5143</v>
      </c>
      <c r="G150" s="6" t="s">
        <v>2099</v>
      </c>
    </row>
    <row r="151" customFormat="false" ht="21.75" hidden="false" customHeight="true" outlineLevel="0" collapsed="false">
      <c r="B151" s="4" t="s">
        <v>118</v>
      </c>
      <c r="C151" s="4" t="s">
        <v>5146</v>
      </c>
      <c r="D151" s="5" t="s">
        <v>4851</v>
      </c>
      <c r="E151" s="5" t="s">
        <v>5147</v>
      </c>
      <c r="F151" s="4" t="s">
        <v>5138</v>
      </c>
      <c r="G151" s="4" t="s">
        <v>2144</v>
      </c>
    </row>
    <row r="152" customFormat="false" ht="21.75" hidden="false" customHeight="true" outlineLevel="0" collapsed="false">
      <c r="B152" s="6" t="s">
        <v>118</v>
      </c>
      <c r="C152" s="6" t="s">
        <v>5148</v>
      </c>
      <c r="D152" s="7" t="s">
        <v>4837</v>
      </c>
      <c r="E152" s="7" t="s">
        <v>5149</v>
      </c>
      <c r="F152" s="6" t="s">
        <v>5143</v>
      </c>
      <c r="G152" s="6" t="s">
        <v>2129</v>
      </c>
    </row>
    <row r="153" customFormat="false" ht="21.75" hidden="false" customHeight="true" outlineLevel="0" collapsed="false">
      <c r="B153" s="4" t="s">
        <v>118</v>
      </c>
      <c r="C153" s="4" t="s">
        <v>5150</v>
      </c>
      <c r="D153" s="5" t="s">
        <v>4854</v>
      </c>
      <c r="E153" s="5" t="s">
        <v>5151</v>
      </c>
      <c r="F153" s="4" t="s">
        <v>5152</v>
      </c>
      <c r="G153" s="4" t="s">
        <v>2122</v>
      </c>
    </row>
    <row r="154" customFormat="false" ht="21.75" hidden="false" customHeight="true" outlineLevel="0" collapsed="false">
      <c r="B154" s="6" t="s">
        <v>118</v>
      </c>
      <c r="C154" s="6" t="s">
        <v>5153</v>
      </c>
      <c r="D154" s="7" t="s">
        <v>4960</v>
      </c>
      <c r="E154" s="7" t="s">
        <v>5154</v>
      </c>
      <c r="F154" s="6" t="s">
        <v>5155</v>
      </c>
      <c r="G154" s="6" t="s">
        <v>2200</v>
      </c>
    </row>
    <row r="155" customFormat="false" ht="21.75" hidden="false" customHeight="true" outlineLevel="0" collapsed="false">
      <c r="B155" s="4" t="s">
        <v>118</v>
      </c>
      <c r="C155" s="4" t="s">
        <v>5156</v>
      </c>
      <c r="D155" s="5" t="s">
        <v>4837</v>
      </c>
      <c r="E155" s="5" t="s">
        <v>5157</v>
      </c>
      <c r="F155" s="4" t="s">
        <v>5143</v>
      </c>
      <c r="G155" s="4" t="s">
        <v>2160</v>
      </c>
    </row>
    <row r="156" customFormat="false" ht="21.75" hidden="false" customHeight="true" outlineLevel="0" collapsed="false">
      <c r="B156" s="6" t="s">
        <v>118</v>
      </c>
      <c r="C156" s="6" t="s">
        <v>5158</v>
      </c>
      <c r="D156" s="7" t="s">
        <v>4960</v>
      </c>
      <c r="E156" s="7" t="s">
        <v>5159</v>
      </c>
      <c r="F156" s="6" t="s">
        <v>5156</v>
      </c>
      <c r="G156" s="6" t="s">
        <v>2176</v>
      </c>
    </row>
    <row r="157" customFormat="false" ht="21.75" hidden="false" customHeight="true" outlineLevel="0" collapsed="false">
      <c r="B157" s="4" t="s">
        <v>118</v>
      </c>
      <c r="C157" s="4" t="s">
        <v>5160</v>
      </c>
      <c r="D157" s="5" t="s">
        <v>4822</v>
      </c>
      <c r="E157" s="5" t="s">
        <v>5161</v>
      </c>
      <c r="F157" s="4"/>
      <c r="G157" s="4" t="s">
        <v>2192</v>
      </c>
    </row>
    <row r="158" customFormat="false" ht="21.75" hidden="false" customHeight="true" outlineLevel="0" collapsed="false">
      <c r="B158" s="6" t="s">
        <v>118</v>
      </c>
      <c r="C158" s="6" t="s">
        <v>5162</v>
      </c>
      <c r="D158" s="7" t="s">
        <v>4897</v>
      </c>
      <c r="E158" s="7" t="s">
        <v>5163</v>
      </c>
      <c r="F158" s="6" t="s">
        <v>5164</v>
      </c>
      <c r="G158" s="6" t="s">
        <v>2184</v>
      </c>
    </row>
    <row r="159" customFormat="false" ht="21.75" hidden="false" customHeight="true" outlineLevel="0" collapsed="false">
      <c r="B159" s="4" t="s">
        <v>118</v>
      </c>
      <c r="C159" s="4" t="s">
        <v>5165</v>
      </c>
      <c r="D159" s="5" t="s">
        <v>4837</v>
      </c>
      <c r="E159" s="5" t="s">
        <v>5166</v>
      </c>
      <c r="F159" s="4" t="s">
        <v>5167</v>
      </c>
      <c r="G159" s="4" t="s">
        <v>2215</v>
      </c>
    </row>
    <row r="160" customFormat="false" ht="21.75" hidden="false" customHeight="true" outlineLevel="0" collapsed="false">
      <c r="B160" s="6" t="s">
        <v>125</v>
      </c>
      <c r="C160" s="6" t="s">
        <v>5168</v>
      </c>
      <c r="D160" s="7" t="s">
        <v>4822</v>
      </c>
      <c r="E160" s="7" t="s">
        <v>5169</v>
      </c>
      <c r="F160" s="6"/>
      <c r="G160" s="6" t="s">
        <v>2230</v>
      </c>
    </row>
    <row r="161" customFormat="false" ht="21.75" hidden="false" customHeight="true" outlineLevel="0" collapsed="false">
      <c r="B161" s="4" t="s">
        <v>125</v>
      </c>
      <c r="C161" s="4" t="s">
        <v>5170</v>
      </c>
      <c r="D161" s="5" t="s">
        <v>4822</v>
      </c>
      <c r="E161" s="5" t="s">
        <v>5171</v>
      </c>
      <c r="F161" s="4" t="s">
        <v>5168</v>
      </c>
      <c r="G161" s="4" t="s">
        <v>2236</v>
      </c>
    </row>
    <row r="162" customFormat="false" ht="21.75" hidden="false" customHeight="true" outlineLevel="0" collapsed="false">
      <c r="B162" s="6" t="s">
        <v>125</v>
      </c>
      <c r="C162" s="6" t="s">
        <v>5172</v>
      </c>
      <c r="D162" s="7" t="s">
        <v>4822</v>
      </c>
      <c r="E162" s="7" t="s">
        <v>5173</v>
      </c>
      <c r="F162" s="6" t="s">
        <v>5168</v>
      </c>
      <c r="G162" s="6" t="s">
        <v>2244</v>
      </c>
    </row>
    <row r="163" customFormat="false" ht="21.75" hidden="false" customHeight="true" outlineLevel="0" collapsed="false">
      <c r="B163" s="4" t="s">
        <v>125</v>
      </c>
      <c r="C163" s="4" t="s">
        <v>2255</v>
      </c>
      <c r="D163" s="5" t="s">
        <v>4822</v>
      </c>
      <c r="E163" s="5" t="s">
        <v>5174</v>
      </c>
      <c r="F163" s="4" t="s">
        <v>5168</v>
      </c>
      <c r="G163" s="4" t="s">
        <v>2252</v>
      </c>
    </row>
    <row r="164" customFormat="false" ht="21.75" hidden="false" customHeight="true" outlineLevel="0" collapsed="false">
      <c r="B164" s="6" t="s">
        <v>125</v>
      </c>
      <c r="C164" s="6" t="s">
        <v>5175</v>
      </c>
      <c r="D164" s="7" t="s">
        <v>4837</v>
      </c>
      <c r="E164" s="7" t="s">
        <v>5176</v>
      </c>
      <c r="F164" s="6"/>
      <c r="G164" s="6" t="s">
        <v>2259</v>
      </c>
    </row>
    <row r="165" customFormat="false" ht="21.75" hidden="false" customHeight="true" outlineLevel="0" collapsed="false">
      <c r="B165" s="4" t="s">
        <v>125</v>
      </c>
      <c r="C165" s="4" t="s">
        <v>5177</v>
      </c>
      <c r="D165" s="5" t="s">
        <v>4833</v>
      </c>
      <c r="E165" s="5" t="s">
        <v>5178</v>
      </c>
      <c r="F165" s="4" t="s">
        <v>5170</v>
      </c>
      <c r="G165" s="4" t="s">
        <v>2267</v>
      </c>
    </row>
    <row r="166" customFormat="false" ht="21.75" hidden="false" customHeight="true" outlineLevel="0" collapsed="false">
      <c r="B166" s="6" t="s">
        <v>125</v>
      </c>
      <c r="C166" s="6" t="s">
        <v>5179</v>
      </c>
      <c r="D166" s="7" t="s">
        <v>4837</v>
      </c>
      <c r="E166" s="7" t="s">
        <v>5180</v>
      </c>
      <c r="F166" s="6" t="s">
        <v>5181</v>
      </c>
      <c r="G166" s="6" t="s">
        <v>2275</v>
      </c>
    </row>
    <row r="167" customFormat="false" ht="21.75" hidden="false" customHeight="true" outlineLevel="0" collapsed="false">
      <c r="B167" s="4" t="s">
        <v>125</v>
      </c>
      <c r="C167" s="4" t="s">
        <v>5182</v>
      </c>
      <c r="D167" s="5" t="s">
        <v>4851</v>
      </c>
      <c r="E167" s="5" t="s">
        <v>5183</v>
      </c>
      <c r="F167" s="4" t="s">
        <v>5184</v>
      </c>
      <c r="G167" s="4" t="s">
        <v>2282</v>
      </c>
    </row>
    <row r="168" customFormat="false" ht="21.75" hidden="false" customHeight="true" outlineLevel="0" collapsed="false">
      <c r="B168" s="6" t="s">
        <v>125</v>
      </c>
      <c r="C168" s="6" t="s">
        <v>5185</v>
      </c>
      <c r="D168" s="7" t="s">
        <v>4837</v>
      </c>
      <c r="E168" s="7" t="s">
        <v>5186</v>
      </c>
      <c r="F168" s="6" t="s">
        <v>5187</v>
      </c>
      <c r="G168" s="6" t="s">
        <v>2376</v>
      </c>
    </row>
    <row r="169" customFormat="false" ht="21.75" hidden="false" customHeight="true" outlineLevel="0" collapsed="false">
      <c r="B169" s="4" t="s">
        <v>125</v>
      </c>
      <c r="C169" s="4" t="s">
        <v>5188</v>
      </c>
      <c r="D169" s="5" t="s">
        <v>4960</v>
      </c>
      <c r="E169" s="5" t="s">
        <v>5189</v>
      </c>
      <c r="F169" s="4" t="s">
        <v>5190</v>
      </c>
      <c r="G169" s="4" t="s">
        <v>2384</v>
      </c>
    </row>
    <row r="170" customFormat="false" ht="21.75" hidden="false" customHeight="true" outlineLevel="0" collapsed="false">
      <c r="B170" s="6" t="s">
        <v>125</v>
      </c>
      <c r="C170" s="6" t="s">
        <v>5191</v>
      </c>
      <c r="D170" s="7" t="s">
        <v>4837</v>
      </c>
      <c r="E170" s="7" t="s">
        <v>5192</v>
      </c>
      <c r="F170" s="6" t="s">
        <v>5193</v>
      </c>
      <c r="G170" s="6" t="s">
        <v>2320</v>
      </c>
    </row>
    <row r="171" customFormat="false" ht="21.75" hidden="false" customHeight="true" outlineLevel="0" collapsed="false">
      <c r="B171" s="4" t="s">
        <v>125</v>
      </c>
      <c r="C171" s="4" t="s">
        <v>5194</v>
      </c>
      <c r="D171" s="5" t="s">
        <v>4833</v>
      </c>
      <c r="E171" s="5" t="s">
        <v>5195</v>
      </c>
      <c r="F171" s="4" t="s">
        <v>5196</v>
      </c>
      <c r="G171" s="4" t="s">
        <v>2328</v>
      </c>
    </row>
    <row r="172" customFormat="false" ht="21.75" hidden="false" customHeight="true" outlineLevel="0" collapsed="false">
      <c r="B172" s="6" t="s">
        <v>125</v>
      </c>
      <c r="C172" s="6" t="s">
        <v>5197</v>
      </c>
      <c r="D172" s="7" t="s">
        <v>4837</v>
      </c>
      <c r="E172" s="7" t="s">
        <v>5198</v>
      </c>
      <c r="F172" s="6" t="s">
        <v>5199</v>
      </c>
      <c r="G172" s="6" t="s">
        <v>2360</v>
      </c>
    </row>
    <row r="173" customFormat="false" ht="21.75" hidden="false" customHeight="true" outlineLevel="0" collapsed="false">
      <c r="B173" s="4" t="s">
        <v>125</v>
      </c>
      <c r="C173" s="4" t="s">
        <v>5200</v>
      </c>
      <c r="D173" s="5" t="s">
        <v>4851</v>
      </c>
      <c r="E173" s="5" t="s">
        <v>5201</v>
      </c>
      <c r="F173" s="4"/>
      <c r="G173" s="4" t="s">
        <v>2344</v>
      </c>
    </row>
    <row r="174" customFormat="false" ht="21.75" hidden="false" customHeight="true" outlineLevel="0" collapsed="false">
      <c r="B174" s="6" t="s">
        <v>125</v>
      </c>
      <c r="C174" s="6" t="s">
        <v>5202</v>
      </c>
      <c r="D174" s="7" t="s">
        <v>4837</v>
      </c>
      <c r="E174" s="7" t="s">
        <v>5203</v>
      </c>
      <c r="F174" s="6" t="s">
        <v>5204</v>
      </c>
      <c r="G174" s="6" t="s">
        <v>2352</v>
      </c>
    </row>
    <row r="175" customFormat="false" ht="21.75" hidden="false" customHeight="true" outlineLevel="0" collapsed="false">
      <c r="B175" s="4" t="s">
        <v>131</v>
      </c>
      <c r="C175" s="4" t="s">
        <v>5136</v>
      </c>
      <c r="D175" s="5" t="s">
        <v>4822</v>
      </c>
      <c r="E175" s="5" t="s">
        <v>5205</v>
      </c>
      <c r="F175" s="4"/>
      <c r="G175" s="4" t="s">
        <v>2421</v>
      </c>
    </row>
    <row r="176" customFormat="false" ht="21.75" hidden="false" customHeight="true" outlineLevel="0" collapsed="false">
      <c r="B176" s="6" t="s">
        <v>131</v>
      </c>
      <c r="C176" s="6" t="s">
        <v>5206</v>
      </c>
      <c r="D176" s="7" t="s">
        <v>4822</v>
      </c>
      <c r="E176" s="7" t="s">
        <v>5207</v>
      </c>
      <c r="F176" s="6" t="s">
        <v>5136</v>
      </c>
      <c r="G176" s="6" t="s">
        <v>2426</v>
      </c>
    </row>
    <row r="177" customFormat="false" ht="21.75" hidden="false" customHeight="true" outlineLevel="0" collapsed="false">
      <c r="B177" s="4" t="s">
        <v>131</v>
      </c>
      <c r="C177" s="4" t="s">
        <v>5208</v>
      </c>
      <c r="D177" s="5" t="s">
        <v>4822</v>
      </c>
      <c r="E177" s="5" t="s">
        <v>5209</v>
      </c>
      <c r="F177" s="4" t="s">
        <v>5206</v>
      </c>
      <c r="G177" s="4" t="s">
        <v>2434</v>
      </c>
    </row>
    <row r="178" customFormat="false" ht="21.75" hidden="false" customHeight="true" outlineLevel="0" collapsed="false">
      <c r="B178" s="6" t="s">
        <v>131</v>
      </c>
      <c r="C178" s="6" t="s">
        <v>5210</v>
      </c>
      <c r="D178" s="7" t="s">
        <v>4837</v>
      </c>
      <c r="E178" s="7" t="s">
        <v>5211</v>
      </c>
      <c r="F178" s="6"/>
      <c r="G178" s="6" t="s">
        <v>2449</v>
      </c>
    </row>
    <row r="179" customFormat="false" ht="21.75" hidden="false" customHeight="true" outlineLevel="0" collapsed="false">
      <c r="B179" s="4" t="s">
        <v>131</v>
      </c>
      <c r="C179" s="4" t="s">
        <v>5177</v>
      </c>
      <c r="D179" s="5" t="s">
        <v>4833</v>
      </c>
      <c r="E179" s="5" t="s">
        <v>5212</v>
      </c>
      <c r="F179" s="4" t="s">
        <v>5213</v>
      </c>
      <c r="G179" s="4" t="s">
        <v>2457</v>
      </c>
    </row>
    <row r="180" customFormat="false" ht="21.75" hidden="false" customHeight="true" outlineLevel="0" collapsed="false">
      <c r="B180" s="6" t="s">
        <v>131</v>
      </c>
      <c r="C180" s="6" t="s">
        <v>5214</v>
      </c>
      <c r="D180" s="7" t="s">
        <v>4895</v>
      </c>
      <c r="E180" s="7" t="s">
        <v>5215</v>
      </c>
      <c r="F180" s="6" t="s">
        <v>5213</v>
      </c>
      <c r="G180" s="6" t="s">
        <v>2480</v>
      </c>
    </row>
    <row r="181" customFormat="false" ht="21.75" hidden="false" customHeight="true" outlineLevel="0" collapsed="false">
      <c r="B181" s="4" t="s">
        <v>131</v>
      </c>
      <c r="C181" s="4" t="s">
        <v>5216</v>
      </c>
      <c r="D181" s="5" t="s">
        <v>4854</v>
      </c>
      <c r="E181" s="5" t="s">
        <v>5217</v>
      </c>
      <c r="F181" s="4" t="s">
        <v>5214</v>
      </c>
      <c r="G181" s="4" t="s">
        <v>2488</v>
      </c>
    </row>
    <row r="182" customFormat="false" ht="21.75" hidden="false" customHeight="true" outlineLevel="0" collapsed="false">
      <c r="B182" s="6" t="s">
        <v>131</v>
      </c>
      <c r="C182" s="6" t="s">
        <v>5218</v>
      </c>
      <c r="D182" s="7" t="s">
        <v>4895</v>
      </c>
      <c r="E182" s="7" t="s">
        <v>5219</v>
      </c>
      <c r="F182" s="6"/>
      <c r="G182" s="6" t="s">
        <v>2502</v>
      </c>
    </row>
    <row r="183" customFormat="false" ht="21.75" hidden="false" customHeight="true" outlineLevel="0" collapsed="false">
      <c r="B183" s="4" t="s">
        <v>131</v>
      </c>
      <c r="C183" s="4" t="s">
        <v>5220</v>
      </c>
      <c r="D183" s="5" t="s">
        <v>4960</v>
      </c>
      <c r="E183" s="5" t="s">
        <v>5221</v>
      </c>
      <c r="F183" s="4" t="s">
        <v>5218</v>
      </c>
      <c r="G183" s="4" t="s">
        <v>2510</v>
      </c>
    </row>
    <row r="184" customFormat="false" ht="21.75" hidden="false" customHeight="true" outlineLevel="0" collapsed="false">
      <c r="B184" s="6" t="s">
        <v>131</v>
      </c>
      <c r="C184" s="6" t="s">
        <v>5222</v>
      </c>
      <c r="D184" s="7" t="s">
        <v>4960</v>
      </c>
      <c r="E184" s="7" t="s">
        <v>5223</v>
      </c>
      <c r="F184" s="6" t="s">
        <v>5210</v>
      </c>
      <c r="G184" s="6" t="s">
        <v>2518</v>
      </c>
    </row>
    <row r="185" customFormat="false" ht="21.75" hidden="false" customHeight="true" outlineLevel="0" collapsed="false">
      <c r="B185" s="4" t="s">
        <v>131</v>
      </c>
      <c r="C185" s="4" t="s">
        <v>5224</v>
      </c>
      <c r="D185" s="5" t="s">
        <v>4960</v>
      </c>
      <c r="E185" s="5" t="s">
        <v>5225</v>
      </c>
      <c r="F185" s="4" t="s">
        <v>5226</v>
      </c>
      <c r="G185" s="4" t="s">
        <v>2480</v>
      </c>
    </row>
    <row r="186" customFormat="false" ht="21.75" hidden="false" customHeight="true" outlineLevel="0" collapsed="false">
      <c r="B186" s="6" t="s">
        <v>131</v>
      </c>
      <c r="C186" s="6" t="s">
        <v>5227</v>
      </c>
      <c r="D186" s="7" t="s">
        <v>4837</v>
      </c>
      <c r="E186" s="7" t="s">
        <v>5228</v>
      </c>
      <c r="F186" s="6" t="s">
        <v>5213</v>
      </c>
      <c r="G186" s="6" t="s">
        <v>2526</v>
      </c>
    </row>
    <row r="187" customFormat="false" ht="21.75" hidden="false" customHeight="true" outlineLevel="0" collapsed="false">
      <c r="B187" s="4" t="s">
        <v>137</v>
      </c>
      <c r="C187" s="4" t="s">
        <v>5229</v>
      </c>
      <c r="D187" s="5" t="s">
        <v>2</v>
      </c>
      <c r="E187" s="5" t="s">
        <v>5230</v>
      </c>
      <c r="F187" s="4"/>
      <c r="G187" s="4" t="s">
        <v>2540</v>
      </c>
    </row>
    <row r="188" customFormat="false" ht="21.75" hidden="false" customHeight="true" outlineLevel="0" collapsed="false">
      <c r="B188" s="6" t="s">
        <v>137</v>
      </c>
      <c r="C188" s="6" t="s">
        <v>5231</v>
      </c>
      <c r="D188" s="7" t="s">
        <v>4854</v>
      </c>
      <c r="E188" s="7" t="s">
        <v>5232</v>
      </c>
      <c r="F188" s="6" t="s">
        <v>5229</v>
      </c>
      <c r="G188" s="6" t="s">
        <v>2553</v>
      </c>
    </row>
    <row r="189" customFormat="false" ht="21.75" hidden="false" customHeight="true" outlineLevel="0" collapsed="false">
      <c r="B189" s="4" t="s">
        <v>137</v>
      </c>
      <c r="C189" s="4" t="s">
        <v>5233</v>
      </c>
      <c r="D189" s="5" t="s">
        <v>4822</v>
      </c>
      <c r="E189" s="5" t="s">
        <v>5234</v>
      </c>
      <c r="F189" s="4" t="s">
        <v>5231</v>
      </c>
      <c r="G189" s="4" t="s">
        <v>2560</v>
      </c>
    </row>
    <row r="190" customFormat="false" ht="21.75" hidden="false" customHeight="true" outlineLevel="0" collapsed="false">
      <c r="B190" s="6" t="s">
        <v>137</v>
      </c>
      <c r="C190" s="6" t="s">
        <v>5235</v>
      </c>
      <c r="D190" s="7" t="s">
        <v>4833</v>
      </c>
      <c r="E190" s="7" t="s">
        <v>5236</v>
      </c>
      <c r="F190" s="6" t="s">
        <v>5231</v>
      </c>
      <c r="G190" s="6" t="s">
        <v>2567</v>
      </c>
    </row>
    <row r="191" customFormat="false" ht="21.75" hidden="false" customHeight="true" outlineLevel="0" collapsed="false">
      <c r="B191" s="4" t="s">
        <v>137</v>
      </c>
      <c r="C191" s="4" t="s">
        <v>5237</v>
      </c>
      <c r="D191" s="5" t="s">
        <v>4851</v>
      </c>
      <c r="E191" s="5" t="s">
        <v>5238</v>
      </c>
      <c r="F191" s="4" t="s">
        <v>5239</v>
      </c>
      <c r="G191" s="4" t="s">
        <v>2574</v>
      </c>
    </row>
    <row r="192" customFormat="false" ht="21.75" hidden="false" customHeight="true" outlineLevel="0" collapsed="false">
      <c r="B192" s="6" t="s">
        <v>137</v>
      </c>
      <c r="C192" s="6" t="s">
        <v>5240</v>
      </c>
      <c r="D192" s="7" t="s">
        <v>2</v>
      </c>
      <c r="E192" s="7" t="s">
        <v>5241</v>
      </c>
      <c r="F192" s="6"/>
      <c r="G192" s="6" t="s">
        <v>2589</v>
      </c>
    </row>
    <row r="193" customFormat="false" ht="21.75" hidden="false" customHeight="true" outlineLevel="0" collapsed="false">
      <c r="B193" s="4" t="s">
        <v>137</v>
      </c>
      <c r="C193" s="4" t="s">
        <v>5242</v>
      </c>
      <c r="D193" s="5" t="s">
        <v>2</v>
      </c>
      <c r="E193" s="5" t="s">
        <v>5243</v>
      </c>
      <c r="F193" s="4" t="s">
        <v>5244</v>
      </c>
      <c r="G193" s="4" t="s">
        <v>2624</v>
      </c>
    </row>
    <row r="194" customFormat="false" ht="21.75" hidden="false" customHeight="true" outlineLevel="0" collapsed="false">
      <c r="B194" s="6" t="s">
        <v>137</v>
      </c>
      <c r="C194" s="6" t="s">
        <v>5245</v>
      </c>
      <c r="D194" s="7" t="s">
        <v>4822</v>
      </c>
      <c r="E194" s="7" t="s">
        <v>5246</v>
      </c>
      <c r="F194" s="6" t="s">
        <v>5231</v>
      </c>
      <c r="G194" s="6" t="s">
        <v>2596</v>
      </c>
    </row>
    <row r="195" customFormat="false" ht="21.75" hidden="false" customHeight="true" outlineLevel="0" collapsed="false">
      <c r="B195" s="4" t="s">
        <v>137</v>
      </c>
      <c r="C195" s="4" t="s">
        <v>5247</v>
      </c>
      <c r="D195" s="5" t="s">
        <v>4895</v>
      </c>
      <c r="E195" s="5" t="s">
        <v>5248</v>
      </c>
      <c r="F195" s="4" t="s">
        <v>5249</v>
      </c>
      <c r="G195" s="4" t="s">
        <v>2603</v>
      </c>
    </row>
    <row r="196" customFormat="false" ht="21.75" hidden="false" customHeight="true" outlineLevel="0" collapsed="false">
      <c r="B196" s="6" t="s">
        <v>137</v>
      </c>
      <c r="C196" s="6" t="s">
        <v>5250</v>
      </c>
      <c r="D196" s="7" t="s">
        <v>4822</v>
      </c>
      <c r="E196" s="7" t="s">
        <v>5251</v>
      </c>
      <c r="F196" s="6" t="s">
        <v>5233</v>
      </c>
      <c r="G196" s="6" t="s">
        <v>2582</v>
      </c>
    </row>
    <row r="197" customFormat="false" ht="21.75" hidden="false" customHeight="true" outlineLevel="0" collapsed="false">
      <c r="B197" s="4" t="s">
        <v>137</v>
      </c>
      <c r="C197" s="4" t="s">
        <v>5252</v>
      </c>
      <c r="D197" s="5" t="s">
        <v>4837</v>
      </c>
      <c r="E197" s="5" t="s">
        <v>5253</v>
      </c>
      <c r="F197" s="4" t="s">
        <v>5237</v>
      </c>
      <c r="G197" s="4" t="s">
        <v>2610</v>
      </c>
    </row>
    <row r="198" customFormat="false" ht="21.75" hidden="false" customHeight="true" outlineLevel="0" collapsed="false">
      <c r="B198" s="6" t="s">
        <v>137</v>
      </c>
      <c r="C198" s="6" t="s">
        <v>5254</v>
      </c>
      <c r="D198" s="7" t="s">
        <v>4822</v>
      </c>
      <c r="E198" s="7" t="s">
        <v>5255</v>
      </c>
      <c r="F198" s="6" t="s">
        <v>5239</v>
      </c>
      <c r="G198" s="6" t="s">
        <v>2617</v>
      </c>
    </row>
    <row r="199" customFormat="false" ht="21.75" hidden="false" customHeight="true" outlineLevel="0" collapsed="false">
      <c r="B199" s="4" t="s">
        <v>143</v>
      </c>
      <c r="C199" s="4" t="s">
        <v>5256</v>
      </c>
      <c r="D199" s="5" t="s">
        <v>2</v>
      </c>
      <c r="E199" s="5" t="s">
        <v>5257</v>
      </c>
      <c r="F199" s="4"/>
      <c r="G199" s="4" t="s">
        <v>2645</v>
      </c>
    </row>
    <row r="200" customFormat="false" ht="21.75" hidden="false" customHeight="true" outlineLevel="0" collapsed="false">
      <c r="B200" s="6" t="s">
        <v>143</v>
      </c>
      <c r="C200" s="6" t="s">
        <v>5258</v>
      </c>
      <c r="D200" s="7" t="s">
        <v>2</v>
      </c>
      <c r="E200" s="7" t="s">
        <v>5259</v>
      </c>
      <c r="F200" s="6" t="s">
        <v>5260</v>
      </c>
      <c r="G200" s="6" t="s">
        <v>2645</v>
      </c>
    </row>
    <row r="201" customFormat="false" ht="21.75" hidden="false" customHeight="true" outlineLevel="0" collapsed="false">
      <c r="B201" s="4" t="s">
        <v>143</v>
      </c>
      <c r="C201" s="4" t="s">
        <v>5261</v>
      </c>
      <c r="D201" s="5" t="s">
        <v>4837</v>
      </c>
      <c r="E201" s="5" t="s">
        <v>5262</v>
      </c>
      <c r="F201" s="4" t="s">
        <v>5256</v>
      </c>
      <c r="G201" s="4" t="s">
        <v>2653</v>
      </c>
    </row>
    <row r="202" customFormat="false" ht="21.75" hidden="false" customHeight="true" outlineLevel="0" collapsed="false">
      <c r="B202" s="6" t="s">
        <v>143</v>
      </c>
      <c r="C202" s="6" t="s">
        <v>5263</v>
      </c>
      <c r="D202" s="7" t="s">
        <v>4837</v>
      </c>
      <c r="E202" s="7" t="s">
        <v>5264</v>
      </c>
      <c r="F202" s="6" t="s">
        <v>5265</v>
      </c>
      <c r="G202" s="6" t="s">
        <v>2685</v>
      </c>
    </row>
    <row r="203" customFormat="false" ht="21.75" hidden="false" customHeight="true" outlineLevel="0" collapsed="false">
      <c r="B203" s="4" t="s">
        <v>143</v>
      </c>
      <c r="C203" s="4" t="s">
        <v>5266</v>
      </c>
      <c r="D203" s="5" t="s">
        <v>4837</v>
      </c>
      <c r="E203" s="5" t="s">
        <v>5267</v>
      </c>
      <c r="F203" s="4" t="s">
        <v>5268</v>
      </c>
      <c r="G203" s="4" t="s">
        <v>2661</v>
      </c>
    </row>
    <row r="204" customFormat="false" ht="21.75" hidden="false" customHeight="true" outlineLevel="0" collapsed="false">
      <c r="B204" s="6" t="s">
        <v>143</v>
      </c>
      <c r="C204" s="6" t="s">
        <v>5269</v>
      </c>
      <c r="D204" s="7" t="s">
        <v>2</v>
      </c>
      <c r="E204" s="7" t="s">
        <v>5270</v>
      </c>
      <c r="F204" s="6" t="s">
        <v>5266</v>
      </c>
      <c r="G204" s="6" t="s">
        <v>2661</v>
      </c>
    </row>
    <row r="205" customFormat="false" ht="21.75" hidden="false" customHeight="true" outlineLevel="0" collapsed="false">
      <c r="B205" s="4" t="s">
        <v>143</v>
      </c>
      <c r="C205" s="4" t="s">
        <v>5271</v>
      </c>
      <c r="D205" s="5" t="s">
        <v>4837</v>
      </c>
      <c r="E205" s="5" t="s">
        <v>5272</v>
      </c>
      <c r="F205" s="4" t="s">
        <v>5273</v>
      </c>
      <c r="G205" s="4" t="s">
        <v>2693</v>
      </c>
    </row>
    <row r="206" customFormat="false" ht="21.75" hidden="false" customHeight="true" outlineLevel="0" collapsed="false">
      <c r="B206" s="6" t="s">
        <v>143</v>
      </c>
      <c r="C206" s="6" t="s">
        <v>5274</v>
      </c>
      <c r="D206" s="7" t="s">
        <v>4822</v>
      </c>
      <c r="E206" s="7" t="s">
        <v>5275</v>
      </c>
      <c r="F206" s="6" t="s">
        <v>5269</v>
      </c>
      <c r="G206" s="6" t="s">
        <v>2732</v>
      </c>
    </row>
    <row r="207" customFormat="false" ht="21.75" hidden="false" customHeight="true" outlineLevel="0" collapsed="false">
      <c r="B207" s="4" t="s">
        <v>143</v>
      </c>
      <c r="C207" s="4" t="s">
        <v>5276</v>
      </c>
      <c r="D207" s="5" t="s">
        <v>4854</v>
      </c>
      <c r="E207" s="5" t="s">
        <v>5277</v>
      </c>
      <c r="F207" s="4" t="s">
        <v>5278</v>
      </c>
      <c r="G207" s="4" t="s">
        <v>2701</v>
      </c>
    </row>
    <row r="208" customFormat="false" ht="21.75" hidden="false" customHeight="true" outlineLevel="0" collapsed="false">
      <c r="B208" s="6" t="s">
        <v>143</v>
      </c>
      <c r="C208" s="6" t="s">
        <v>5260</v>
      </c>
      <c r="D208" s="7" t="s">
        <v>4837</v>
      </c>
      <c r="E208" s="7" t="s">
        <v>5279</v>
      </c>
      <c r="F208" s="6" t="s">
        <v>5280</v>
      </c>
      <c r="G208" s="6" t="s">
        <v>2669</v>
      </c>
    </row>
    <row r="209" customFormat="false" ht="21.75" hidden="false" customHeight="true" outlineLevel="0" collapsed="false">
      <c r="B209" s="4" t="s">
        <v>143</v>
      </c>
      <c r="C209" s="4" t="s">
        <v>5281</v>
      </c>
      <c r="D209" s="5" t="s">
        <v>2</v>
      </c>
      <c r="E209" s="5" t="s">
        <v>5282</v>
      </c>
      <c r="F209" s="4" t="s">
        <v>5260</v>
      </c>
      <c r="G209" s="4" t="s">
        <v>2740</v>
      </c>
    </row>
    <row r="210" customFormat="false" ht="21.75" hidden="false" customHeight="true" outlineLevel="0" collapsed="false">
      <c r="B210" s="6" t="s">
        <v>143</v>
      </c>
      <c r="C210" s="6" t="s">
        <v>5283</v>
      </c>
      <c r="D210" s="7" t="s">
        <v>4897</v>
      </c>
      <c r="E210" s="7" t="s">
        <v>5284</v>
      </c>
      <c r="F210" s="6" t="s">
        <v>5278</v>
      </c>
      <c r="G210" s="6" t="s">
        <v>2709</v>
      </c>
    </row>
    <row r="211" customFormat="false" ht="21.75" hidden="false" customHeight="true" outlineLevel="0" collapsed="false">
      <c r="B211" s="4" t="s">
        <v>150</v>
      </c>
      <c r="C211" s="4" t="s">
        <v>5285</v>
      </c>
      <c r="D211" s="5" t="s">
        <v>2</v>
      </c>
      <c r="E211" s="5" t="s">
        <v>5286</v>
      </c>
      <c r="F211" s="4"/>
      <c r="G211" s="4" t="s">
        <v>2772</v>
      </c>
    </row>
    <row r="212" customFormat="false" ht="21.75" hidden="false" customHeight="true" outlineLevel="0" collapsed="false">
      <c r="B212" s="6" t="s">
        <v>150</v>
      </c>
      <c r="C212" s="6" t="s">
        <v>2799</v>
      </c>
      <c r="D212" s="7" t="s">
        <v>4851</v>
      </c>
      <c r="E212" s="7" t="s">
        <v>5287</v>
      </c>
      <c r="F212" s="6" t="s">
        <v>5288</v>
      </c>
      <c r="G212" s="6" t="s">
        <v>2780</v>
      </c>
    </row>
    <row r="213" customFormat="false" ht="21.75" hidden="false" customHeight="true" outlineLevel="0" collapsed="false">
      <c r="B213" s="4" t="s">
        <v>150</v>
      </c>
      <c r="C213" s="4" t="s">
        <v>5289</v>
      </c>
      <c r="D213" s="5" t="s">
        <v>4822</v>
      </c>
      <c r="E213" s="5" t="s">
        <v>5290</v>
      </c>
      <c r="F213" s="4" t="s">
        <v>5291</v>
      </c>
      <c r="G213" s="4" t="s">
        <v>2788</v>
      </c>
    </row>
    <row r="214" customFormat="false" ht="21.75" hidden="false" customHeight="true" outlineLevel="0" collapsed="false">
      <c r="B214" s="6" t="s">
        <v>150</v>
      </c>
      <c r="C214" s="6" t="s">
        <v>5292</v>
      </c>
      <c r="D214" s="7" t="s">
        <v>4833</v>
      </c>
      <c r="E214" s="7" t="s">
        <v>5293</v>
      </c>
      <c r="F214" s="6" t="s">
        <v>2799</v>
      </c>
      <c r="G214" s="6" t="s">
        <v>2796</v>
      </c>
    </row>
    <row r="215" customFormat="false" ht="21.75" hidden="false" customHeight="true" outlineLevel="0" collapsed="false">
      <c r="B215" s="4" t="s">
        <v>150</v>
      </c>
      <c r="C215" s="4" t="s">
        <v>5294</v>
      </c>
      <c r="D215" s="5" t="s">
        <v>4837</v>
      </c>
      <c r="E215" s="5" t="s">
        <v>5295</v>
      </c>
      <c r="F215" s="4" t="s">
        <v>5296</v>
      </c>
      <c r="G215" s="4" t="s">
        <v>2796</v>
      </c>
    </row>
    <row r="216" customFormat="false" ht="21.75" hidden="false" customHeight="true" outlineLevel="0" collapsed="false">
      <c r="B216" s="6" t="s">
        <v>150</v>
      </c>
      <c r="C216" s="6" t="s">
        <v>5297</v>
      </c>
      <c r="D216" s="7" t="s">
        <v>4822</v>
      </c>
      <c r="E216" s="7" t="s">
        <v>5298</v>
      </c>
      <c r="F216" s="6" t="s">
        <v>5299</v>
      </c>
      <c r="G216" s="6" t="s">
        <v>2812</v>
      </c>
    </row>
    <row r="217" customFormat="false" ht="21.75" hidden="false" customHeight="true" outlineLevel="0" collapsed="false">
      <c r="B217" s="4" t="s">
        <v>150</v>
      </c>
      <c r="C217" s="4" t="s">
        <v>5300</v>
      </c>
      <c r="D217" s="5" t="s">
        <v>4837</v>
      </c>
      <c r="E217" s="5" t="s">
        <v>5301</v>
      </c>
      <c r="F217" s="4"/>
      <c r="G217" s="4" t="s">
        <v>2812</v>
      </c>
    </row>
    <row r="218" customFormat="false" ht="21.75" hidden="false" customHeight="true" outlineLevel="0" collapsed="false">
      <c r="B218" s="6" t="s">
        <v>150</v>
      </c>
      <c r="C218" s="6" t="s">
        <v>5302</v>
      </c>
      <c r="D218" s="7" t="s">
        <v>4895</v>
      </c>
      <c r="E218" s="7" t="s">
        <v>5303</v>
      </c>
      <c r="F218" s="6" t="s">
        <v>5304</v>
      </c>
      <c r="G218" s="6" t="s">
        <v>2820</v>
      </c>
    </row>
    <row r="219" customFormat="false" ht="21.75" hidden="false" customHeight="true" outlineLevel="0" collapsed="false">
      <c r="B219" s="4" t="s">
        <v>150</v>
      </c>
      <c r="C219" s="4" t="s">
        <v>5305</v>
      </c>
      <c r="D219" s="5" t="s">
        <v>4837</v>
      </c>
      <c r="E219" s="5" t="s">
        <v>5306</v>
      </c>
      <c r="F219" s="4" t="s">
        <v>5289</v>
      </c>
      <c r="G219" s="4" t="s">
        <v>2804</v>
      </c>
    </row>
    <row r="220" customFormat="false" ht="21.75" hidden="false" customHeight="true" outlineLevel="0" collapsed="false">
      <c r="B220" s="6" t="s">
        <v>150</v>
      </c>
      <c r="C220" s="6" t="s">
        <v>5307</v>
      </c>
      <c r="D220" s="7" t="s">
        <v>4854</v>
      </c>
      <c r="E220" s="7" t="s">
        <v>5308</v>
      </c>
      <c r="F220" s="6"/>
      <c r="G220" s="6" t="s">
        <v>2764</v>
      </c>
    </row>
    <row r="221" customFormat="false" ht="21.75" hidden="false" customHeight="true" outlineLevel="0" collapsed="false">
      <c r="B221" s="4" t="s">
        <v>150</v>
      </c>
      <c r="C221" s="4" t="s">
        <v>5309</v>
      </c>
      <c r="D221" s="5" t="s">
        <v>2</v>
      </c>
      <c r="E221" s="5" t="s">
        <v>5310</v>
      </c>
      <c r="F221" s="4" t="s">
        <v>5305</v>
      </c>
      <c r="G221" s="4" t="s">
        <v>2804</v>
      </c>
    </row>
    <row r="222" customFormat="false" ht="21.75" hidden="false" customHeight="true" outlineLevel="0" collapsed="false">
      <c r="B222" s="6" t="s">
        <v>156</v>
      </c>
      <c r="C222" s="6" t="s">
        <v>5311</v>
      </c>
      <c r="D222" s="7" t="s">
        <v>2</v>
      </c>
      <c r="E222" s="7" t="s">
        <v>5312</v>
      </c>
      <c r="F222" s="6"/>
      <c r="G222" s="6" t="s">
        <v>2868</v>
      </c>
    </row>
    <row r="223" customFormat="false" ht="21.75" hidden="false" customHeight="true" outlineLevel="0" collapsed="false">
      <c r="B223" s="4" t="s">
        <v>156</v>
      </c>
      <c r="C223" s="4" t="s">
        <v>5313</v>
      </c>
      <c r="D223" s="5" t="s">
        <v>4895</v>
      </c>
      <c r="E223" s="5" t="s">
        <v>5314</v>
      </c>
      <c r="F223" s="4"/>
      <c r="G223" s="4" t="s">
        <v>2876</v>
      </c>
    </row>
    <row r="224" customFormat="false" ht="21.75" hidden="false" customHeight="true" outlineLevel="0" collapsed="false">
      <c r="B224" s="6" t="s">
        <v>156</v>
      </c>
      <c r="C224" s="6" t="s">
        <v>5315</v>
      </c>
      <c r="D224" s="7" t="s">
        <v>4822</v>
      </c>
      <c r="E224" s="7" t="s">
        <v>5316</v>
      </c>
      <c r="F224" s="6"/>
      <c r="G224" s="6" t="s">
        <v>2906</v>
      </c>
    </row>
    <row r="225" customFormat="false" ht="21.75" hidden="false" customHeight="true" outlineLevel="0" collapsed="false">
      <c r="B225" s="4" t="s">
        <v>156</v>
      </c>
      <c r="C225" s="4" t="s">
        <v>5317</v>
      </c>
      <c r="D225" s="5" t="s">
        <v>4837</v>
      </c>
      <c r="E225" s="5" t="s">
        <v>5318</v>
      </c>
      <c r="F225" s="4" t="s">
        <v>5319</v>
      </c>
      <c r="G225" s="4" t="s">
        <v>2884</v>
      </c>
    </row>
    <row r="226" customFormat="false" ht="21.75" hidden="false" customHeight="true" outlineLevel="0" collapsed="false">
      <c r="B226" s="6" t="s">
        <v>156</v>
      </c>
      <c r="C226" s="6" t="s">
        <v>5320</v>
      </c>
      <c r="D226" s="7" t="s">
        <v>4833</v>
      </c>
      <c r="E226" s="7" t="s">
        <v>5321</v>
      </c>
      <c r="F226" s="6" t="s">
        <v>5317</v>
      </c>
      <c r="G226" s="6" t="s">
        <v>2891</v>
      </c>
    </row>
    <row r="227" customFormat="false" ht="21.75" hidden="false" customHeight="true" outlineLevel="0" collapsed="false">
      <c r="B227" s="4" t="s">
        <v>156</v>
      </c>
      <c r="C227" s="4" t="s">
        <v>5322</v>
      </c>
      <c r="D227" s="5" t="s">
        <v>2</v>
      </c>
      <c r="E227" s="5" t="s">
        <v>5323</v>
      </c>
      <c r="F227" s="4" t="s">
        <v>5317</v>
      </c>
      <c r="G227" s="4" t="s">
        <v>2946</v>
      </c>
    </row>
    <row r="228" customFormat="false" ht="21.75" hidden="false" customHeight="true" outlineLevel="0" collapsed="false">
      <c r="B228" s="6" t="s">
        <v>156</v>
      </c>
      <c r="C228" s="6" t="s">
        <v>5324</v>
      </c>
      <c r="D228" s="7" t="s">
        <v>4822</v>
      </c>
      <c r="E228" s="7" t="s">
        <v>5325</v>
      </c>
      <c r="F228" s="6" t="s">
        <v>5322</v>
      </c>
      <c r="G228" s="6" t="s">
        <v>2914</v>
      </c>
    </row>
    <row r="229" customFormat="false" ht="21.75" hidden="false" customHeight="true" outlineLevel="0" collapsed="false">
      <c r="B229" s="4" t="s">
        <v>156</v>
      </c>
      <c r="C229" s="4" t="s">
        <v>5326</v>
      </c>
      <c r="D229" s="5" t="s">
        <v>4822</v>
      </c>
      <c r="E229" s="5" t="s">
        <v>5327</v>
      </c>
      <c r="F229" s="4"/>
      <c r="G229" s="4" t="s">
        <v>2922</v>
      </c>
    </row>
    <row r="230" customFormat="false" ht="21.75" hidden="false" customHeight="true" outlineLevel="0" collapsed="false">
      <c r="B230" s="6" t="s">
        <v>156</v>
      </c>
      <c r="C230" s="6" t="s">
        <v>5328</v>
      </c>
      <c r="D230" s="7" t="s">
        <v>4837</v>
      </c>
      <c r="E230" s="7" t="s">
        <v>5329</v>
      </c>
      <c r="F230" s="6" t="s">
        <v>5326</v>
      </c>
      <c r="G230" s="6" t="s">
        <v>2930</v>
      </c>
    </row>
    <row r="231" customFormat="false" ht="21.75" hidden="false" customHeight="true" outlineLevel="0" collapsed="false">
      <c r="B231" s="4" t="s">
        <v>156</v>
      </c>
      <c r="C231" s="4" t="s">
        <v>5330</v>
      </c>
      <c r="D231" s="5" t="s">
        <v>4837</v>
      </c>
      <c r="E231" s="5" t="s">
        <v>5331</v>
      </c>
      <c r="F231" s="4" t="s">
        <v>5328</v>
      </c>
      <c r="G231" s="4" t="s">
        <v>2938</v>
      </c>
    </row>
    <row r="232" customFormat="false" ht="21.75" hidden="false" customHeight="true" outlineLevel="0" collapsed="false">
      <c r="B232" s="6" t="s">
        <v>156</v>
      </c>
      <c r="C232" s="6" t="s">
        <v>5332</v>
      </c>
      <c r="D232" s="7" t="s">
        <v>4854</v>
      </c>
      <c r="E232" s="7" t="s">
        <v>5333</v>
      </c>
      <c r="F232" s="6" t="s">
        <v>5322</v>
      </c>
      <c r="G232" s="6" t="s">
        <v>2954</v>
      </c>
    </row>
    <row r="233" customFormat="false" ht="21.75" hidden="false" customHeight="true" outlineLevel="0" collapsed="false">
      <c r="B233" s="4" t="s">
        <v>162</v>
      </c>
      <c r="C233" s="4" t="s">
        <v>5334</v>
      </c>
      <c r="D233" s="5" t="s">
        <v>4897</v>
      </c>
      <c r="E233" s="5" t="s">
        <v>5335</v>
      </c>
      <c r="F233" s="4" t="s">
        <v>5336</v>
      </c>
      <c r="G233" s="4" t="s">
        <v>2978</v>
      </c>
    </row>
    <row r="234" customFormat="false" ht="21.75" hidden="false" customHeight="true" outlineLevel="0" collapsed="false">
      <c r="B234" s="6" t="s">
        <v>162</v>
      </c>
      <c r="C234" s="6" t="s">
        <v>5336</v>
      </c>
      <c r="D234" s="7" t="s">
        <v>4854</v>
      </c>
      <c r="E234" s="7" t="s">
        <v>5337</v>
      </c>
      <c r="F234" s="6"/>
      <c r="G234" s="6" t="s">
        <v>3032</v>
      </c>
    </row>
    <row r="235" customFormat="false" ht="21.75" hidden="false" customHeight="true" outlineLevel="0" collapsed="false">
      <c r="B235" s="4" t="s">
        <v>162</v>
      </c>
      <c r="C235" s="4" t="s">
        <v>5338</v>
      </c>
      <c r="D235" s="5" t="s">
        <v>4837</v>
      </c>
      <c r="E235" s="5" t="s">
        <v>5339</v>
      </c>
      <c r="F235" s="4" t="s">
        <v>5334</v>
      </c>
      <c r="G235" s="4" t="s">
        <v>2986</v>
      </c>
    </row>
    <row r="236" customFormat="false" ht="21.75" hidden="false" customHeight="true" outlineLevel="0" collapsed="false">
      <c r="B236" s="6" t="s">
        <v>162</v>
      </c>
      <c r="C236" s="6" t="s">
        <v>5340</v>
      </c>
      <c r="D236" s="7" t="s">
        <v>4837</v>
      </c>
      <c r="E236" s="7" t="s">
        <v>5341</v>
      </c>
      <c r="F236" s="6" t="s">
        <v>5338</v>
      </c>
      <c r="G236" s="6" t="s">
        <v>2994</v>
      </c>
    </row>
    <row r="237" customFormat="false" ht="21.75" hidden="false" customHeight="true" outlineLevel="0" collapsed="false">
      <c r="B237" s="4" t="s">
        <v>162</v>
      </c>
      <c r="C237" s="4" t="s">
        <v>5342</v>
      </c>
      <c r="D237" s="5" t="s">
        <v>4822</v>
      </c>
      <c r="E237" s="5" t="s">
        <v>5343</v>
      </c>
      <c r="F237" s="4" t="s">
        <v>5340</v>
      </c>
      <c r="G237" s="4" t="s">
        <v>3001</v>
      </c>
    </row>
    <row r="238" customFormat="false" ht="21.75" hidden="false" customHeight="true" outlineLevel="0" collapsed="false">
      <c r="B238" s="6" t="s">
        <v>162</v>
      </c>
      <c r="C238" s="6" t="s">
        <v>5344</v>
      </c>
      <c r="D238" s="7" t="s">
        <v>4897</v>
      </c>
      <c r="E238" s="7" t="s">
        <v>5345</v>
      </c>
      <c r="F238" s="6" t="s">
        <v>5342</v>
      </c>
      <c r="G238" s="6" t="s">
        <v>3016</v>
      </c>
    </row>
    <row r="239" customFormat="false" ht="21.75" hidden="false" customHeight="true" outlineLevel="0" collapsed="false">
      <c r="B239" s="4" t="s">
        <v>162</v>
      </c>
      <c r="C239" s="4" t="s">
        <v>5346</v>
      </c>
      <c r="D239" s="5" t="s">
        <v>4837</v>
      </c>
      <c r="E239" s="5" t="s">
        <v>5347</v>
      </c>
      <c r="F239" s="4" t="s">
        <v>5344</v>
      </c>
      <c r="G239" s="4" t="s">
        <v>3008</v>
      </c>
    </row>
    <row r="240" customFormat="false" ht="21.75" hidden="false" customHeight="true" outlineLevel="0" collapsed="false">
      <c r="B240" s="6" t="s">
        <v>162</v>
      </c>
      <c r="C240" s="6" t="s">
        <v>5348</v>
      </c>
      <c r="D240" s="7" t="s">
        <v>2</v>
      </c>
      <c r="E240" s="7" t="s">
        <v>5349</v>
      </c>
      <c r="F240" s="6"/>
      <c r="G240" s="6" t="s">
        <v>3040</v>
      </c>
    </row>
    <row r="241" customFormat="false" ht="21.75" hidden="false" customHeight="true" outlineLevel="0" collapsed="false">
      <c r="B241" s="4" t="s">
        <v>162</v>
      </c>
      <c r="C241" s="4" t="s">
        <v>5350</v>
      </c>
      <c r="D241" s="5" t="s">
        <v>4833</v>
      </c>
      <c r="E241" s="5" t="s">
        <v>5351</v>
      </c>
      <c r="F241" s="4" t="s">
        <v>5334</v>
      </c>
      <c r="G241" s="4" t="s">
        <v>3024</v>
      </c>
    </row>
    <row r="242" customFormat="false" ht="21.75" hidden="false" customHeight="true" outlineLevel="0" collapsed="false">
      <c r="B242" s="6" t="s">
        <v>162</v>
      </c>
      <c r="C242" s="6" t="s">
        <v>5352</v>
      </c>
      <c r="D242" s="7" t="s">
        <v>4895</v>
      </c>
      <c r="E242" s="7" t="s">
        <v>5353</v>
      </c>
      <c r="F242" s="6"/>
      <c r="G242" s="6" t="s">
        <v>3055</v>
      </c>
    </row>
    <row r="243" customFormat="false" ht="21.75" hidden="false" customHeight="true" outlineLevel="0" collapsed="false">
      <c r="B243" s="4" t="s">
        <v>162</v>
      </c>
      <c r="C243" s="4" t="s">
        <v>5354</v>
      </c>
      <c r="D243" s="5" t="s">
        <v>2</v>
      </c>
      <c r="E243" s="5" t="s">
        <v>5355</v>
      </c>
      <c r="F243" s="4" t="s">
        <v>5352</v>
      </c>
      <c r="G243" s="4" t="s">
        <v>3063</v>
      </c>
    </row>
    <row r="244" customFormat="false" ht="21.75" hidden="false" customHeight="true" outlineLevel="0" collapsed="false">
      <c r="B244" s="6" t="s">
        <v>168</v>
      </c>
      <c r="C244" s="6" t="s">
        <v>5356</v>
      </c>
      <c r="D244" s="7" t="s">
        <v>2</v>
      </c>
      <c r="E244" s="7" t="s">
        <v>5357</v>
      </c>
      <c r="F244" s="6"/>
      <c r="G244" s="6" t="s">
        <v>3079</v>
      </c>
    </row>
    <row r="245" customFormat="false" ht="21.75" hidden="false" customHeight="true" outlineLevel="0" collapsed="false">
      <c r="B245" s="4" t="s">
        <v>168</v>
      </c>
      <c r="C245" s="4" t="s">
        <v>5358</v>
      </c>
      <c r="D245" s="5" t="s">
        <v>4837</v>
      </c>
      <c r="E245" s="5" t="s">
        <v>5359</v>
      </c>
      <c r="F245" s="4" t="s">
        <v>5356</v>
      </c>
      <c r="G245" s="4" t="s">
        <v>3086</v>
      </c>
    </row>
    <row r="246" customFormat="false" ht="21.75" hidden="false" customHeight="true" outlineLevel="0" collapsed="false">
      <c r="B246" s="6" t="s">
        <v>168</v>
      </c>
      <c r="C246" s="6" t="s">
        <v>5360</v>
      </c>
      <c r="D246" s="7" t="s">
        <v>4895</v>
      </c>
      <c r="E246" s="7" t="s">
        <v>5361</v>
      </c>
      <c r="F246" s="6" t="s">
        <v>5356</v>
      </c>
      <c r="G246" s="6" t="s">
        <v>3094</v>
      </c>
    </row>
    <row r="247" customFormat="false" ht="21.75" hidden="false" customHeight="true" outlineLevel="0" collapsed="false">
      <c r="B247" s="4" t="s">
        <v>168</v>
      </c>
      <c r="C247" s="4" t="s">
        <v>5362</v>
      </c>
      <c r="D247" s="5" t="s">
        <v>4854</v>
      </c>
      <c r="E247" s="5" t="s">
        <v>5363</v>
      </c>
      <c r="F247" s="4" t="s">
        <v>5358</v>
      </c>
      <c r="G247" s="4" t="s">
        <v>3102</v>
      </c>
    </row>
    <row r="248" customFormat="false" ht="21.75" hidden="false" customHeight="true" outlineLevel="0" collapsed="false">
      <c r="B248" s="6" t="s">
        <v>168</v>
      </c>
      <c r="C248" s="6" t="s">
        <v>5364</v>
      </c>
      <c r="D248" s="7" t="s">
        <v>4833</v>
      </c>
      <c r="E248" s="7" t="s">
        <v>5365</v>
      </c>
      <c r="F248" s="6" t="s">
        <v>5358</v>
      </c>
      <c r="G248" s="6" t="s">
        <v>3110</v>
      </c>
    </row>
    <row r="249" customFormat="false" ht="21.75" hidden="false" customHeight="true" outlineLevel="0" collapsed="false">
      <c r="B249" s="4" t="s">
        <v>168</v>
      </c>
      <c r="C249" s="4" t="s">
        <v>5366</v>
      </c>
      <c r="D249" s="5" t="s">
        <v>4822</v>
      </c>
      <c r="E249" s="5" t="s">
        <v>5367</v>
      </c>
      <c r="F249" s="4" t="s">
        <v>5358</v>
      </c>
      <c r="G249" s="4" t="s">
        <v>3117</v>
      </c>
    </row>
    <row r="250" customFormat="false" ht="21.75" hidden="false" customHeight="true" outlineLevel="0" collapsed="false">
      <c r="B250" s="6" t="s">
        <v>168</v>
      </c>
      <c r="C250" s="6" t="s">
        <v>5368</v>
      </c>
      <c r="D250" s="7" t="s">
        <v>4895</v>
      </c>
      <c r="E250" s="7" t="s">
        <v>5369</v>
      </c>
      <c r="F250" s="6" t="s">
        <v>5362</v>
      </c>
      <c r="G250" s="6" t="s">
        <v>3124</v>
      </c>
    </row>
    <row r="251" customFormat="false" ht="21.75" hidden="false" customHeight="true" outlineLevel="0" collapsed="false">
      <c r="B251" s="4" t="s">
        <v>168</v>
      </c>
      <c r="C251" s="4" t="s">
        <v>2132</v>
      </c>
      <c r="D251" s="5" t="s">
        <v>4854</v>
      </c>
      <c r="E251" s="5" t="s">
        <v>5370</v>
      </c>
      <c r="F251" s="4"/>
      <c r="G251" s="4" t="s">
        <v>3140</v>
      </c>
    </row>
    <row r="252" customFormat="false" ht="21.75" hidden="false" customHeight="true" outlineLevel="0" collapsed="false">
      <c r="B252" s="6" t="s">
        <v>168</v>
      </c>
      <c r="C252" s="6" t="s">
        <v>5371</v>
      </c>
      <c r="D252" s="7" t="s">
        <v>4960</v>
      </c>
      <c r="E252" s="7" t="s">
        <v>5372</v>
      </c>
      <c r="F252" s="6"/>
      <c r="G252" s="6" t="s">
        <v>3148</v>
      </c>
    </row>
    <row r="253" customFormat="false" ht="21.75" hidden="false" customHeight="true" outlineLevel="0" collapsed="false">
      <c r="B253" s="4" t="s">
        <v>168</v>
      </c>
      <c r="C253" s="4" t="s">
        <v>5373</v>
      </c>
      <c r="D253" s="5" t="s">
        <v>4837</v>
      </c>
      <c r="E253" s="5" t="s">
        <v>5374</v>
      </c>
      <c r="F253" s="4" t="s">
        <v>5375</v>
      </c>
      <c r="G253" s="4" t="s">
        <v>3156</v>
      </c>
    </row>
    <row r="254" customFormat="false" ht="21.75" hidden="false" customHeight="true" outlineLevel="0" collapsed="false">
      <c r="B254" s="6" t="s">
        <v>174</v>
      </c>
      <c r="C254" s="6" t="s">
        <v>5376</v>
      </c>
      <c r="D254" s="7" t="s">
        <v>2</v>
      </c>
      <c r="E254" s="7" t="s">
        <v>5377</v>
      </c>
      <c r="F254" s="6"/>
      <c r="G254" s="6" t="s">
        <v>3172</v>
      </c>
    </row>
    <row r="255" customFormat="false" ht="21.75" hidden="false" customHeight="true" outlineLevel="0" collapsed="false">
      <c r="B255" s="4" t="s">
        <v>174</v>
      </c>
      <c r="C255" s="4" t="s">
        <v>5378</v>
      </c>
      <c r="D255" s="5" t="s">
        <v>4822</v>
      </c>
      <c r="E255" s="5" t="s">
        <v>5379</v>
      </c>
      <c r="F255" s="4" t="s">
        <v>5376</v>
      </c>
      <c r="G255" s="4" t="s">
        <v>3179</v>
      </c>
    </row>
    <row r="256" customFormat="false" ht="21.75" hidden="false" customHeight="true" outlineLevel="0" collapsed="false">
      <c r="B256" s="6" t="s">
        <v>174</v>
      </c>
      <c r="C256" s="6" t="s">
        <v>5380</v>
      </c>
      <c r="D256" s="7" t="s">
        <v>4960</v>
      </c>
      <c r="E256" s="7" t="s">
        <v>5381</v>
      </c>
      <c r="F256" s="6"/>
      <c r="G256" s="6" t="s">
        <v>3187</v>
      </c>
    </row>
    <row r="257" customFormat="false" ht="21.75" hidden="false" customHeight="true" outlineLevel="0" collapsed="false">
      <c r="B257" s="4" t="s">
        <v>174</v>
      </c>
      <c r="C257" s="4" t="s">
        <v>5382</v>
      </c>
      <c r="D257" s="5" t="s">
        <v>4822</v>
      </c>
      <c r="E257" s="5" t="s">
        <v>5383</v>
      </c>
      <c r="F257" s="4" t="s">
        <v>5378</v>
      </c>
      <c r="G257" s="4" t="s">
        <v>3195</v>
      </c>
    </row>
    <row r="258" customFormat="false" ht="21.75" hidden="false" customHeight="true" outlineLevel="0" collapsed="false">
      <c r="B258" s="6" t="s">
        <v>174</v>
      </c>
      <c r="C258" s="6" t="s">
        <v>5384</v>
      </c>
      <c r="D258" s="7" t="s">
        <v>4837</v>
      </c>
      <c r="E258" s="7" t="s">
        <v>5385</v>
      </c>
      <c r="F258" s="6" t="s">
        <v>5380</v>
      </c>
      <c r="G258" s="6" t="s">
        <v>3203</v>
      </c>
    </row>
    <row r="259" customFormat="false" ht="21.75" hidden="false" customHeight="true" outlineLevel="0" collapsed="false">
      <c r="B259" s="4" t="s">
        <v>174</v>
      </c>
      <c r="C259" s="4" t="s">
        <v>5386</v>
      </c>
      <c r="D259" s="5" t="s">
        <v>4895</v>
      </c>
      <c r="E259" s="5" t="s">
        <v>5387</v>
      </c>
      <c r="F259" s="4" t="s">
        <v>5382</v>
      </c>
      <c r="G259" s="4" t="s">
        <v>3210</v>
      </c>
    </row>
    <row r="260" customFormat="false" ht="21.75" hidden="false" customHeight="true" outlineLevel="0" collapsed="false">
      <c r="B260" s="6" t="s">
        <v>174</v>
      </c>
      <c r="C260" s="6" t="s">
        <v>5388</v>
      </c>
      <c r="D260" s="7" t="s">
        <v>4854</v>
      </c>
      <c r="E260" s="7" t="s">
        <v>5389</v>
      </c>
      <c r="F260" s="6"/>
      <c r="G260" s="6" t="s">
        <v>3218</v>
      </c>
    </row>
    <row r="261" customFormat="false" ht="21.75" hidden="false" customHeight="true" outlineLevel="0" collapsed="false">
      <c r="B261" s="4" t="s">
        <v>174</v>
      </c>
      <c r="C261" s="4" t="s">
        <v>5390</v>
      </c>
      <c r="D261" s="5" t="s">
        <v>4854</v>
      </c>
      <c r="E261" s="5" t="s">
        <v>5391</v>
      </c>
      <c r="F261" s="4"/>
      <c r="G261" s="4" t="s">
        <v>3218</v>
      </c>
    </row>
    <row r="262" customFormat="false" ht="21.75" hidden="false" customHeight="true" outlineLevel="0" collapsed="false">
      <c r="B262" s="6" t="s">
        <v>174</v>
      </c>
      <c r="C262" s="6" t="s">
        <v>5392</v>
      </c>
      <c r="D262" s="7" t="s">
        <v>4833</v>
      </c>
      <c r="E262" s="7" t="s">
        <v>5393</v>
      </c>
      <c r="F262" s="6" t="s">
        <v>5386</v>
      </c>
      <c r="G262" s="6" t="s">
        <v>3233</v>
      </c>
    </row>
    <row r="263" customFormat="false" ht="21.75" hidden="false" customHeight="true" outlineLevel="0" collapsed="false">
      <c r="B263" s="4" t="s">
        <v>174</v>
      </c>
      <c r="C263" s="4" t="s">
        <v>5394</v>
      </c>
      <c r="D263" s="5" t="s">
        <v>2</v>
      </c>
      <c r="E263" s="5" t="s">
        <v>5395</v>
      </c>
      <c r="F263" s="4" t="s">
        <v>5384</v>
      </c>
      <c r="G263" s="4" t="s">
        <v>3240</v>
      </c>
    </row>
    <row r="264" customFormat="false" ht="21.75" hidden="false" customHeight="true" outlineLevel="0" collapsed="false">
      <c r="B264" s="6" t="s">
        <v>179</v>
      </c>
      <c r="C264" s="6" t="s">
        <v>5396</v>
      </c>
      <c r="D264" s="7" t="s">
        <v>2</v>
      </c>
      <c r="E264" s="7" t="s">
        <v>5397</v>
      </c>
      <c r="F264" s="6"/>
      <c r="G264" s="6" t="s">
        <v>3255</v>
      </c>
    </row>
    <row r="265" customFormat="false" ht="21.75" hidden="false" customHeight="true" outlineLevel="0" collapsed="false">
      <c r="B265" s="4" t="s">
        <v>179</v>
      </c>
      <c r="C265" s="4" t="s">
        <v>5398</v>
      </c>
      <c r="D265" s="5" t="s">
        <v>2</v>
      </c>
      <c r="E265" s="5" t="s">
        <v>5399</v>
      </c>
      <c r="F265" s="4"/>
      <c r="G265" s="4" t="s">
        <v>3255</v>
      </c>
    </row>
    <row r="266" customFormat="false" ht="21.75" hidden="false" customHeight="true" outlineLevel="0" collapsed="false">
      <c r="B266" s="6" t="s">
        <v>179</v>
      </c>
      <c r="C266" s="6" t="s">
        <v>5400</v>
      </c>
      <c r="D266" s="7" t="s">
        <v>4837</v>
      </c>
      <c r="E266" s="7" t="s">
        <v>5401</v>
      </c>
      <c r="F266" s="6"/>
      <c r="G266" s="6" t="s">
        <v>3262</v>
      </c>
    </row>
    <row r="267" customFormat="false" ht="21.75" hidden="false" customHeight="true" outlineLevel="0" collapsed="false">
      <c r="B267" s="4" t="s">
        <v>179</v>
      </c>
      <c r="C267" s="4" t="s">
        <v>5402</v>
      </c>
      <c r="D267" s="5" t="s">
        <v>4833</v>
      </c>
      <c r="E267" s="5" t="s">
        <v>5403</v>
      </c>
      <c r="F267" s="4" t="s">
        <v>5400</v>
      </c>
      <c r="G267" s="4" t="s">
        <v>3270</v>
      </c>
    </row>
    <row r="268" customFormat="false" ht="21.75" hidden="false" customHeight="true" outlineLevel="0" collapsed="false">
      <c r="B268" s="6" t="s">
        <v>179</v>
      </c>
      <c r="C268" s="6" t="s">
        <v>5404</v>
      </c>
      <c r="D268" s="7" t="s">
        <v>4822</v>
      </c>
      <c r="E268" s="7" t="s">
        <v>5405</v>
      </c>
      <c r="F268" s="6" t="s">
        <v>5400</v>
      </c>
      <c r="G268" s="6" t="s">
        <v>3278</v>
      </c>
    </row>
    <row r="269" customFormat="false" ht="21.75" hidden="false" customHeight="true" outlineLevel="0" collapsed="false">
      <c r="B269" s="4" t="s">
        <v>179</v>
      </c>
      <c r="C269" s="4" t="s">
        <v>5406</v>
      </c>
      <c r="D269" s="5" t="s">
        <v>2</v>
      </c>
      <c r="E269" s="5" t="s">
        <v>5407</v>
      </c>
      <c r="F269" s="4"/>
      <c r="G269" s="4" t="s">
        <v>3286</v>
      </c>
    </row>
    <row r="270" customFormat="false" ht="21.75" hidden="false" customHeight="true" outlineLevel="0" collapsed="false">
      <c r="B270" s="6" t="s">
        <v>179</v>
      </c>
      <c r="C270" s="6" t="s">
        <v>5408</v>
      </c>
      <c r="D270" s="7" t="s">
        <v>2</v>
      </c>
      <c r="E270" s="7" t="s">
        <v>5409</v>
      </c>
      <c r="F270" s="6" t="s">
        <v>5406</v>
      </c>
      <c r="G270" s="6" t="s">
        <v>3331</v>
      </c>
    </row>
    <row r="271" customFormat="false" ht="21.75" hidden="false" customHeight="true" outlineLevel="0" collapsed="false">
      <c r="B271" s="4" t="s">
        <v>179</v>
      </c>
      <c r="C271" s="4" t="s">
        <v>5410</v>
      </c>
      <c r="D271" s="5" t="s">
        <v>4851</v>
      </c>
      <c r="E271" s="5" t="s">
        <v>5411</v>
      </c>
      <c r="F271" s="4" t="s">
        <v>5408</v>
      </c>
      <c r="G271" s="4" t="s">
        <v>3270</v>
      </c>
    </row>
    <row r="272" customFormat="false" ht="21.75" hidden="false" customHeight="true" outlineLevel="0" collapsed="false">
      <c r="B272" s="6" t="s">
        <v>179</v>
      </c>
      <c r="C272" s="6" t="s">
        <v>5412</v>
      </c>
      <c r="D272" s="7" t="s">
        <v>2</v>
      </c>
      <c r="E272" s="7" t="s">
        <v>5413</v>
      </c>
      <c r="F272" s="6" t="s">
        <v>5402</v>
      </c>
      <c r="G272" s="6" t="s">
        <v>3294</v>
      </c>
    </row>
    <row r="273" customFormat="false" ht="21.75" hidden="false" customHeight="true" outlineLevel="0" collapsed="false">
      <c r="B273" s="4" t="s">
        <v>179</v>
      </c>
      <c r="C273" s="4" t="s">
        <v>5414</v>
      </c>
      <c r="D273" s="5" t="s">
        <v>4822</v>
      </c>
      <c r="E273" s="5" t="s">
        <v>5415</v>
      </c>
      <c r="F273" s="4" t="s">
        <v>5408</v>
      </c>
      <c r="G273" s="4" t="s">
        <v>3383</v>
      </c>
    </row>
    <row r="274" customFormat="false" ht="21.75" hidden="false" customHeight="true" outlineLevel="0" collapsed="false">
      <c r="B274" s="6" t="s">
        <v>179</v>
      </c>
      <c r="C274" s="6" t="s">
        <v>5416</v>
      </c>
      <c r="D274" s="7" t="s">
        <v>4837</v>
      </c>
      <c r="E274" s="7" t="s">
        <v>5417</v>
      </c>
      <c r="F274" s="6" t="s">
        <v>5414</v>
      </c>
      <c r="G274" s="6" t="s">
        <v>3301</v>
      </c>
    </row>
    <row r="275" customFormat="false" ht="21.75" hidden="false" customHeight="true" outlineLevel="0" collapsed="false">
      <c r="B275" s="4" t="s">
        <v>179</v>
      </c>
      <c r="C275" s="4" t="s">
        <v>5418</v>
      </c>
      <c r="D275" s="5" t="s">
        <v>2</v>
      </c>
      <c r="E275" s="5" t="s">
        <v>5419</v>
      </c>
      <c r="F275" s="4"/>
      <c r="G275" s="4" t="s">
        <v>3301</v>
      </c>
    </row>
    <row r="276" customFormat="false" ht="21.75" hidden="false" customHeight="true" outlineLevel="0" collapsed="false">
      <c r="B276" s="6" t="s">
        <v>179</v>
      </c>
      <c r="C276" s="6" t="s">
        <v>5420</v>
      </c>
      <c r="D276" s="7" t="s">
        <v>4854</v>
      </c>
      <c r="E276" s="7" t="s">
        <v>5421</v>
      </c>
      <c r="F276" s="6"/>
      <c r="G276" s="6" t="s">
        <v>3309</v>
      </c>
    </row>
    <row r="277" customFormat="false" ht="21.75" hidden="false" customHeight="true" outlineLevel="0" collapsed="false">
      <c r="B277" s="4" t="s">
        <v>179</v>
      </c>
      <c r="C277" s="4" t="s">
        <v>5422</v>
      </c>
      <c r="D277" s="5" t="s">
        <v>4854</v>
      </c>
      <c r="E277" s="5" t="s">
        <v>5423</v>
      </c>
      <c r="F277" s="4" t="s">
        <v>5420</v>
      </c>
      <c r="G277" s="4" t="s">
        <v>3338</v>
      </c>
    </row>
    <row r="278" customFormat="false" ht="21.75" hidden="false" customHeight="true" outlineLevel="0" collapsed="false">
      <c r="B278" s="6" t="s">
        <v>179</v>
      </c>
      <c r="C278" s="6" t="s">
        <v>5424</v>
      </c>
      <c r="D278" s="7" t="s">
        <v>4854</v>
      </c>
      <c r="E278" s="7" t="s">
        <v>5425</v>
      </c>
      <c r="F278" s="6" t="s">
        <v>5426</v>
      </c>
      <c r="G278" s="6" t="s">
        <v>3352</v>
      </c>
    </row>
    <row r="279" customFormat="false" ht="21.75" hidden="false" customHeight="true" outlineLevel="0" collapsed="false">
      <c r="B279" s="4" t="s">
        <v>179</v>
      </c>
      <c r="C279" s="4" t="s">
        <v>5427</v>
      </c>
      <c r="D279" s="5" t="s">
        <v>2</v>
      </c>
      <c r="E279" s="5" t="s">
        <v>5428</v>
      </c>
      <c r="F279" s="4"/>
      <c r="G279" s="4" t="s">
        <v>3368</v>
      </c>
    </row>
    <row r="280" customFormat="false" ht="21.75" hidden="false" customHeight="true" outlineLevel="0" collapsed="false">
      <c r="B280" s="6" t="s">
        <v>185</v>
      </c>
      <c r="C280" s="6" t="s">
        <v>5429</v>
      </c>
      <c r="D280" s="7" t="s">
        <v>2</v>
      </c>
      <c r="E280" s="7" t="s">
        <v>5430</v>
      </c>
      <c r="F280" s="6"/>
      <c r="G280" s="6" t="s">
        <v>3561</v>
      </c>
    </row>
    <row r="281" customFormat="false" ht="21.75" hidden="false" customHeight="true" outlineLevel="0" collapsed="false">
      <c r="B281" s="4" t="s">
        <v>185</v>
      </c>
      <c r="C281" s="4" t="s">
        <v>5431</v>
      </c>
      <c r="D281" s="5" t="s">
        <v>4822</v>
      </c>
      <c r="E281" s="5" t="s">
        <v>5432</v>
      </c>
      <c r="F281" s="4" t="s">
        <v>5429</v>
      </c>
      <c r="G281" s="4" t="s">
        <v>3391</v>
      </c>
    </row>
    <row r="282" customFormat="false" ht="21.75" hidden="false" customHeight="true" outlineLevel="0" collapsed="false">
      <c r="B282" s="6" t="s">
        <v>185</v>
      </c>
      <c r="C282" s="6" t="s">
        <v>5433</v>
      </c>
      <c r="D282" s="7" t="s">
        <v>4837</v>
      </c>
      <c r="E282" s="7" t="s">
        <v>5434</v>
      </c>
      <c r="F282" s="6" t="s">
        <v>5429</v>
      </c>
      <c r="G282" s="6" t="s">
        <v>3398</v>
      </c>
    </row>
    <row r="283" customFormat="false" ht="21.75" hidden="false" customHeight="true" outlineLevel="0" collapsed="false">
      <c r="B283" s="4" t="s">
        <v>185</v>
      </c>
      <c r="C283" s="4" t="s">
        <v>5435</v>
      </c>
      <c r="D283" s="5" t="s">
        <v>4822</v>
      </c>
      <c r="E283" s="5" t="s">
        <v>5436</v>
      </c>
      <c r="F283" s="4" t="s">
        <v>5433</v>
      </c>
      <c r="G283" s="4" t="s">
        <v>3405</v>
      </c>
    </row>
    <row r="284" customFormat="false" ht="21.75" hidden="false" customHeight="true" outlineLevel="0" collapsed="false">
      <c r="B284" s="6" t="s">
        <v>185</v>
      </c>
      <c r="C284" s="6" t="s">
        <v>5437</v>
      </c>
      <c r="D284" s="7" t="s">
        <v>4833</v>
      </c>
      <c r="E284" s="7" t="s">
        <v>5438</v>
      </c>
      <c r="F284" s="6" t="s">
        <v>5435</v>
      </c>
      <c r="G284" s="6" t="s">
        <v>3413</v>
      </c>
    </row>
    <row r="285" customFormat="false" ht="21.75" hidden="false" customHeight="true" outlineLevel="0" collapsed="false">
      <c r="B285" s="4" t="s">
        <v>185</v>
      </c>
      <c r="C285" s="4" t="s">
        <v>5439</v>
      </c>
      <c r="D285" s="5" t="s">
        <v>4851</v>
      </c>
      <c r="E285" s="5" t="s">
        <v>5440</v>
      </c>
      <c r="F285" s="4" t="s">
        <v>5433</v>
      </c>
      <c r="G285" s="4" t="s">
        <v>3494</v>
      </c>
    </row>
    <row r="286" customFormat="false" ht="21.75" hidden="false" customHeight="true" outlineLevel="0" collapsed="false">
      <c r="B286" s="6" t="s">
        <v>185</v>
      </c>
      <c r="C286" s="6" t="s">
        <v>5441</v>
      </c>
      <c r="D286" s="7" t="s">
        <v>4895</v>
      </c>
      <c r="E286" s="7" t="s">
        <v>5442</v>
      </c>
      <c r="F286" s="6" t="s">
        <v>5429</v>
      </c>
      <c r="G286" s="6" t="s">
        <v>3456</v>
      </c>
    </row>
    <row r="287" customFormat="false" ht="21.75" hidden="false" customHeight="true" outlineLevel="0" collapsed="false">
      <c r="B287" s="4" t="s">
        <v>185</v>
      </c>
      <c r="C287" s="4" t="s">
        <v>5443</v>
      </c>
      <c r="D287" s="5" t="s">
        <v>4822</v>
      </c>
      <c r="E287" s="5" t="s">
        <v>5444</v>
      </c>
      <c r="F287" s="4" t="s">
        <v>5431</v>
      </c>
      <c r="G287" s="4" t="s">
        <v>3464</v>
      </c>
    </row>
    <row r="288" customFormat="false" ht="21.75" hidden="false" customHeight="true" outlineLevel="0" collapsed="false">
      <c r="B288" s="6" t="s">
        <v>185</v>
      </c>
      <c r="C288" s="6" t="s">
        <v>5445</v>
      </c>
      <c r="D288" s="7" t="s">
        <v>4833</v>
      </c>
      <c r="E288" s="7" t="s">
        <v>5446</v>
      </c>
      <c r="F288" s="6" t="s">
        <v>5443</v>
      </c>
      <c r="G288" s="6" t="s">
        <v>3472</v>
      </c>
    </row>
    <row r="289" customFormat="false" ht="21.75" hidden="false" customHeight="true" outlineLevel="0" collapsed="false">
      <c r="B289" s="4" t="s">
        <v>185</v>
      </c>
      <c r="C289" s="4" t="s">
        <v>5447</v>
      </c>
      <c r="D289" s="5" t="s">
        <v>4854</v>
      </c>
      <c r="E289" s="5" t="s">
        <v>5448</v>
      </c>
      <c r="F289" s="4" t="s">
        <v>5429</v>
      </c>
      <c r="G289" s="4" t="s">
        <v>3480</v>
      </c>
    </row>
    <row r="290" customFormat="false" ht="21.75" hidden="false" customHeight="true" outlineLevel="0" collapsed="false">
      <c r="B290" s="6" t="s">
        <v>185</v>
      </c>
      <c r="C290" s="6" t="s">
        <v>5449</v>
      </c>
      <c r="D290" s="7" t="s">
        <v>4837</v>
      </c>
      <c r="E290" s="7" t="s">
        <v>5450</v>
      </c>
      <c r="F290" s="6" t="s">
        <v>5429</v>
      </c>
      <c r="G290" s="6" t="s">
        <v>3487</v>
      </c>
    </row>
    <row r="291" customFormat="false" ht="21.75" hidden="false" customHeight="true" outlineLevel="0" collapsed="false">
      <c r="B291" s="4" t="s">
        <v>185</v>
      </c>
      <c r="C291" s="4" t="s">
        <v>5451</v>
      </c>
      <c r="D291" s="5" t="s">
        <v>4854</v>
      </c>
      <c r="E291" s="5" t="s">
        <v>5452</v>
      </c>
      <c r="F291" s="4" t="s">
        <v>5429</v>
      </c>
      <c r="G291" s="4" t="s">
        <v>3420</v>
      </c>
    </row>
    <row r="292" customFormat="false" ht="21.75" hidden="false" customHeight="true" outlineLevel="0" collapsed="false">
      <c r="B292" s="6" t="s">
        <v>185</v>
      </c>
      <c r="C292" s="6" t="s">
        <v>5453</v>
      </c>
      <c r="D292" s="7" t="s">
        <v>4897</v>
      </c>
      <c r="E292" s="7" t="s">
        <v>5454</v>
      </c>
      <c r="F292" s="6" t="s">
        <v>5433</v>
      </c>
      <c r="G292" s="6" t="s">
        <v>3441</v>
      </c>
    </row>
    <row r="293" customFormat="false" ht="21.75" hidden="false" customHeight="true" outlineLevel="0" collapsed="false">
      <c r="B293" s="4" t="s">
        <v>185</v>
      </c>
      <c r="C293" s="4" t="s">
        <v>5455</v>
      </c>
      <c r="D293" s="5" t="s">
        <v>4960</v>
      </c>
      <c r="E293" s="5" t="s">
        <v>5456</v>
      </c>
      <c r="F293" s="4" t="s">
        <v>5429</v>
      </c>
      <c r="G293" s="4" t="s">
        <v>3516</v>
      </c>
    </row>
    <row r="294" customFormat="false" ht="21.75" hidden="false" customHeight="true" outlineLevel="0" collapsed="false">
      <c r="B294" s="6" t="s">
        <v>185</v>
      </c>
      <c r="C294" s="6" t="s">
        <v>5457</v>
      </c>
      <c r="D294" s="7" t="s">
        <v>4854</v>
      </c>
      <c r="E294" s="7" t="s">
        <v>5458</v>
      </c>
      <c r="F294" s="6" t="s">
        <v>5455</v>
      </c>
      <c r="G294" s="6" t="s">
        <v>3523</v>
      </c>
    </row>
    <row r="295" customFormat="false" ht="21.75" hidden="false" customHeight="true" outlineLevel="0" collapsed="false">
      <c r="B295" s="4" t="s">
        <v>185</v>
      </c>
      <c r="C295" s="4" t="s">
        <v>5459</v>
      </c>
      <c r="D295" s="5" t="s">
        <v>4895</v>
      </c>
      <c r="E295" s="5" t="s">
        <v>5460</v>
      </c>
      <c r="F295" s="4"/>
      <c r="G295" s="4" t="s">
        <v>3531</v>
      </c>
    </row>
    <row r="296" customFormat="false" ht="21.75" hidden="false" customHeight="true" outlineLevel="0" collapsed="false">
      <c r="B296" s="6" t="s">
        <v>185</v>
      </c>
      <c r="C296" s="6" t="s">
        <v>5461</v>
      </c>
      <c r="D296" s="7" t="s">
        <v>2</v>
      </c>
      <c r="E296" s="7" t="s">
        <v>5462</v>
      </c>
      <c r="F296" s="6" t="s">
        <v>5459</v>
      </c>
      <c r="G296" s="6" t="s">
        <v>3539</v>
      </c>
    </row>
    <row r="297" customFormat="false" ht="21.75" hidden="false" customHeight="true" outlineLevel="0" collapsed="false">
      <c r="B297" s="4" t="s">
        <v>190</v>
      </c>
      <c r="C297" s="4" t="s">
        <v>5463</v>
      </c>
      <c r="D297" s="5" t="s">
        <v>2</v>
      </c>
      <c r="E297" s="5" t="s">
        <v>5464</v>
      </c>
      <c r="F297" s="4"/>
      <c r="G297" s="4" t="s">
        <v>3568</v>
      </c>
    </row>
    <row r="298" customFormat="false" ht="21.75" hidden="false" customHeight="true" outlineLevel="0" collapsed="false">
      <c r="B298" s="6" t="s">
        <v>190</v>
      </c>
      <c r="C298" s="6" t="s">
        <v>5465</v>
      </c>
      <c r="D298" s="7" t="s">
        <v>2</v>
      </c>
      <c r="E298" s="7" t="s">
        <v>5466</v>
      </c>
      <c r="F298" s="6" t="s">
        <v>5463</v>
      </c>
      <c r="G298" s="6" t="s">
        <v>3576</v>
      </c>
    </row>
    <row r="299" customFormat="false" ht="21.75" hidden="false" customHeight="true" outlineLevel="0" collapsed="false">
      <c r="B299" s="4" t="s">
        <v>190</v>
      </c>
      <c r="C299" s="4" t="s">
        <v>5467</v>
      </c>
      <c r="D299" s="5" t="s">
        <v>4837</v>
      </c>
      <c r="E299" s="5" t="s">
        <v>5468</v>
      </c>
      <c r="F299" s="4" t="s">
        <v>5465</v>
      </c>
      <c r="G299" s="4" t="s">
        <v>3583</v>
      </c>
    </row>
    <row r="300" customFormat="false" ht="21.75" hidden="false" customHeight="true" outlineLevel="0" collapsed="false">
      <c r="B300" s="6" t="s">
        <v>190</v>
      </c>
      <c r="C300" s="6" t="s">
        <v>5469</v>
      </c>
      <c r="D300" s="7" t="s">
        <v>4822</v>
      </c>
      <c r="E300" s="7" t="s">
        <v>5470</v>
      </c>
      <c r="F300" s="6" t="s">
        <v>5465</v>
      </c>
      <c r="G300" s="6" t="s">
        <v>3598</v>
      </c>
    </row>
    <row r="301" customFormat="false" ht="21.75" hidden="false" customHeight="true" outlineLevel="0" collapsed="false">
      <c r="B301" s="4" t="s">
        <v>190</v>
      </c>
      <c r="C301" s="4" t="s">
        <v>5471</v>
      </c>
      <c r="D301" s="5" t="s">
        <v>4833</v>
      </c>
      <c r="E301" s="5" t="s">
        <v>5472</v>
      </c>
      <c r="F301" s="4" t="s">
        <v>5469</v>
      </c>
      <c r="G301" s="4" t="s">
        <v>3605</v>
      </c>
    </row>
    <row r="302" customFormat="false" ht="21.75" hidden="false" customHeight="true" outlineLevel="0" collapsed="false">
      <c r="B302" s="6" t="s">
        <v>190</v>
      </c>
      <c r="C302" s="6" t="s">
        <v>5473</v>
      </c>
      <c r="D302" s="7" t="s">
        <v>4837</v>
      </c>
      <c r="E302" s="7" t="s">
        <v>5474</v>
      </c>
      <c r="F302" s="6" t="s">
        <v>5471</v>
      </c>
      <c r="G302" s="6" t="s">
        <v>3621</v>
      </c>
    </row>
    <row r="303" customFormat="false" ht="21.75" hidden="false" customHeight="true" outlineLevel="0" collapsed="false">
      <c r="B303" s="4" t="s">
        <v>190</v>
      </c>
      <c r="C303" s="4" t="s">
        <v>5475</v>
      </c>
      <c r="D303" s="5" t="s">
        <v>4960</v>
      </c>
      <c r="E303" s="5" t="s">
        <v>5476</v>
      </c>
      <c r="F303" s="4" t="s">
        <v>5473</v>
      </c>
      <c r="G303" s="4" t="s">
        <v>3629</v>
      </c>
    </row>
    <row r="304" customFormat="false" ht="21.75" hidden="false" customHeight="true" outlineLevel="0" collapsed="false">
      <c r="B304" s="6" t="s">
        <v>190</v>
      </c>
      <c r="C304" s="6" t="s">
        <v>5477</v>
      </c>
      <c r="D304" s="7" t="s">
        <v>4833</v>
      </c>
      <c r="E304" s="7" t="s">
        <v>5478</v>
      </c>
      <c r="F304" s="6" t="s">
        <v>5475</v>
      </c>
      <c r="G304" s="6" t="s">
        <v>3637</v>
      </c>
    </row>
    <row r="305" customFormat="false" ht="21.75" hidden="false" customHeight="true" outlineLevel="0" collapsed="false">
      <c r="B305" s="4" t="s">
        <v>190</v>
      </c>
      <c r="C305" s="4" t="s">
        <v>5479</v>
      </c>
      <c r="D305" s="5" t="s">
        <v>4854</v>
      </c>
      <c r="E305" s="5" t="s">
        <v>5480</v>
      </c>
      <c r="F305" s="4" t="s">
        <v>5477</v>
      </c>
      <c r="G305" s="4" t="s">
        <v>3645</v>
      </c>
    </row>
    <row r="306" customFormat="false" ht="21.75" hidden="false" customHeight="true" outlineLevel="0" collapsed="false">
      <c r="B306" s="6" t="s">
        <v>190</v>
      </c>
      <c r="C306" s="6" t="s">
        <v>5481</v>
      </c>
      <c r="D306" s="7" t="s">
        <v>2</v>
      </c>
      <c r="E306" s="7" t="s">
        <v>5482</v>
      </c>
      <c r="F306" s="6" t="s">
        <v>5479</v>
      </c>
      <c r="G306" s="6" t="s">
        <v>3652</v>
      </c>
    </row>
    <row r="307" customFormat="false" ht="21.75" hidden="false" customHeight="true" outlineLevel="0" collapsed="false">
      <c r="B307" s="4" t="s">
        <v>190</v>
      </c>
      <c r="C307" s="4" t="s">
        <v>5483</v>
      </c>
      <c r="D307" s="5" t="s">
        <v>4822</v>
      </c>
      <c r="E307" s="5" t="s">
        <v>5484</v>
      </c>
      <c r="F307" s="4" t="s">
        <v>5481</v>
      </c>
      <c r="G307" s="4" t="s">
        <v>3667</v>
      </c>
    </row>
    <row r="308" customFormat="false" ht="21.75" hidden="false" customHeight="true" outlineLevel="0" collapsed="false">
      <c r="B308" s="6" t="s">
        <v>190</v>
      </c>
      <c r="C308" s="6" t="s">
        <v>5485</v>
      </c>
      <c r="D308" s="7" t="s">
        <v>4854</v>
      </c>
      <c r="E308" s="7" t="s">
        <v>5486</v>
      </c>
      <c r="F308" s="6" t="s">
        <v>5465</v>
      </c>
      <c r="G308" s="6" t="s">
        <v>3675</v>
      </c>
    </row>
    <row r="309" customFormat="false" ht="21.75" hidden="false" customHeight="true" outlineLevel="0" collapsed="false">
      <c r="B309" s="4" t="s">
        <v>190</v>
      </c>
      <c r="C309" s="4" t="s">
        <v>5487</v>
      </c>
      <c r="D309" s="5" t="s">
        <v>4895</v>
      </c>
      <c r="E309" s="5" t="s">
        <v>5488</v>
      </c>
      <c r="F309" s="4" t="s">
        <v>5471</v>
      </c>
      <c r="G309" s="4" t="s">
        <v>3682</v>
      </c>
    </row>
    <row r="310" customFormat="false" ht="21.75" hidden="false" customHeight="true" outlineLevel="0" collapsed="false">
      <c r="B310" s="6" t="s">
        <v>195</v>
      </c>
      <c r="C310" s="6" t="s">
        <v>5489</v>
      </c>
      <c r="D310" s="7" t="s">
        <v>2</v>
      </c>
      <c r="E310" s="7" t="s">
        <v>5490</v>
      </c>
      <c r="F310" s="6"/>
      <c r="G310" s="6" t="s">
        <v>3689</v>
      </c>
    </row>
    <row r="311" customFormat="false" ht="21.75" hidden="false" customHeight="true" outlineLevel="0" collapsed="false">
      <c r="B311" s="4" t="s">
        <v>195</v>
      </c>
      <c r="C311" s="4" t="s">
        <v>5491</v>
      </c>
      <c r="D311" s="5" t="s">
        <v>4837</v>
      </c>
      <c r="E311" s="5" t="s">
        <v>5492</v>
      </c>
      <c r="F311" s="4" t="s">
        <v>5489</v>
      </c>
      <c r="G311" s="4" t="s">
        <v>3696</v>
      </c>
    </row>
    <row r="312" customFormat="false" ht="21.75" hidden="false" customHeight="true" outlineLevel="0" collapsed="false">
      <c r="B312" s="6" t="s">
        <v>195</v>
      </c>
      <c r="C312" s="6" t="s">
        <v>5493</v>
      </c>
      <c r="D312" s="7" t="s">
        <v>4822</v>
      </c>
      <c r="E312" s="7" t="s">
        <v>5494</v>
      </c>
      <c r="F312" s="6" t="s">
        <v>5491</v>
      </c>
      <c r="G312" s="6" t="s">
        <v>3703</v>
      </c>
    </row>
    <row r="313" customFormat="false" ht="21.75" hidden="false" customHeight="true" outlineLevel="0" collapsed="false">
      <c r="B313" s="4" t="s">
        <v>195</v>
      </c>
      <c r="C313" s="4" t="s">
        <v>5495</v>
      </c>
      <c r="D313" s="5" t="s">
        <v>4822</v>
      </c>
      <c r="E313" s="5" t="s">
        <v>5496</v>
      </c>
      <c r="F313" s="4" t="s">
        <v>5493</v>
      </c>
      <c r="G313" s="4" t="s">
        <v>3711</v>
      </c>
    </row>
    <row r="314" customFormat="false" ht="21.75" hidden="false" customHeight="true" outlineLevel="0" collapsed="false">
      <c r="B314" s="6" t="s">
        <v>195</v>
      </c>
      <c r="C314" s="6" t="s">
        <v>5497</v>
      </c>
      <c r="D314" s="7" t="s">
        <v>4822</v>
      </c>
      <c r="E314" s="7" t="s">
        <v>5498</v>
      </c>
      <c r="F314" s="6" t="s">
        <v>5491</v>
      </c>
      <c r="G314" s="6" t="s">
        <v>3718</v>
      </c>
    </row>
    <row r="315" customFormat="false" ht="21.75" hidden="false" customHeight="true" outlineLevel="0" collapsed="false">
      <c r="B315" s="4" t="s">
        <v>195</v>
      </c>
      <c r="C315" s="4" t="s">
        <v>5499</v>
      </c>
      <c r="D315" s="5" t="s">
        <v>2</v>
      </c>
      <c r="E315" s="5" t="s">
        <v>5500</v>
      </c>
      <c r="F315" s="4"/>
      <c r="G315" s="4" t="s">
        <v>3726</v>
      </c>
    </row>
    <row r="316" customFormat="false" ht="21.75" hidden="false" customHeight="true" outlineLevel="0" collapsed="false">
      <c r="B316" s="6" t="s">
        <v>195</v>
      </c>
      <c r="C316" s="6" t="s">
        <v>5501</v>
      </c>
      <c r="D316" s="7" t="s">
        <v>4837</v>
      </c>
      <c r="E316" s="7" t="s">
        <v>5502</v>
      </c>
      <c r="F316" s="6" t="s">
        <v>5499</v>
      </c>
      <c r="G316" s="6" t="s">
        <v>3733</v>
      </c>
    </row>
    <row r="317" customFormat="false" ht="21.75" hidden="false" customHeight="true" outlineLevel="0" collapsed="false">
      <c r="B317" s="4" t="s">
        <v>195</v>
      </c>
      <c r="C317" s="4" t="s">
        <v>5503</v>
      </c>
      <c r="D317" s="5" t="s">
        <v>4833</v>
      </c>
      <c r="E317" s="5" t="s">
        <v>5504</v>
      </c>
      <c r="F317" s="4" t="s">
        <v>5501</v>
      </c>
      <c r="G317" s="4" t="s">
        <v>3748</v>
      </c>
    </row>
    <row r="318" customFormat="false" ht="21.75" hidden="false" customHeight="true" outlineLevel="0" collapsed="false">
      <c r="B318" s="6" t="s">
        <v>195</v>
      </c>
      <c r="C318" s="6" t="s">
        <v>5505</v>
      </c>
      <c r="D318" s="7" t="s">
        <v>4851</v>
      </c>
      <c r="E318" s="7" t="s">
        <v>5506</v>
      </c>
      <c r="F318" s="6"/>
      <c r="G318" s="6" t="s">
        <v>3755</v>
      </c>
    </row>
    <row r="319" customFormat="false" ht="21.75" hidden="false" customHeight="true" outlineLevel="0" collapsed="false">
      <c r="B319" s="4" t="s">
        <v>195</v>
      </c>
      <c r="C319" s="4" t="s">
        <v>5507</v>
      </c>
      <c r="D319" s="5" t="s">
        <v>4837</v>
      </c>
      <c r="E319" s="5" t="s">
        <v>5508</v>
      </c>
      <c r="F319" s="4" t="s">
        <v>5505</v>
      </c>
      <c r="G319" s="4" t="s">
        <v>3762</v>
      </c>
    </row>
    <row r="320" customFormat="false" ht="21.75" hidden="false" customHeight="true" outlineLevel="0" collapsed="false">
      <c r="B320" s="6" t="s">
        <v>195</v>
      </c>
      <c r="C320" s="6" t="s">
        <v>5509</v>
      </c>
      <c r="D320" s="7" t="s">
        <v>4854</v>
      </c>
      <c r="E320" s="7" t="s">
        <v>5510</v>
      </c>
      <c r="F320" s="6" t="s">
        <v>5489</v>
      </c>
      <c r="G320" s="6" t="s">
        <v>3777</v>
      </c>
    </row>
    <row r="321" customFormat="false" ht="21.75" hidden="false" customHeight="true" outlineLevel="0" collapsed="false">
      <c r="B321" s="4" t="s">
        <v>195</v>
      </c>
      <c r="C321" s="4" t="s">
        <v>5511</v>
      </c>
      <c r="D321" s="5" t="s">
        <v>4822</v>
      </c>
      <c r="E321" s="5" t="s">
        <v>5512</v>
      </c>
      <c r="F321" s="4" t="s">
        <v>5507</v>
      </c>
      <c r="G321" s="4" t="s">
        <v>3784</v>
      </c>
    </row>
    <row r="322" customFormat="false" ht="21.75" hidden="false" customHeight="true" outlineLevel="0" collapsed="false">
      <c r="B322" s="6" t="s">
        <v>199</v>
      </c>
      <c r="C322" s="6" t="s">
        <v>3810</v>
      </c>
      <c r="D322" s="7" t="s">
        <v>2</v>
      </c>
      <c r="E322" s="7" t="s">
        <v>5513</v>
      </c>
      <c r="F322" s="6"/>
      <c r="G322" s="6" t="s">
        <v>3806</v>
      </c>
    </row>
    <row r="323" customFormat="false" ht="21.75" hidden="false" customHeight="true" outlineLevel="0" collapsed="false">
      <c r="B323" s="4" t="s">
        <v>199</v>
      </c>
      <c r="C323" s="4" t="s">
        <v>5514</v>
      </c>
      <c r="D323" s="5" t="s">
        <v>4854</v>
      </c>
      <c r="E323" s="5" t="s">
        <v>5515</v>
      </c>
      <c r="F323" s="4" t="s">
        <v>3810</v>
      </c>
      <c r="G323" s="4" t="s">
        <v>3813</v>
      </c>
    </row>
    <row r="324" customFormat="false" ht="21.75" hidden="false" customHeight="true" outlineLevel="0" collapsed="false">
      <c r="B324" s="6" t="s">
        <v>199</v>
      </c>
      <c r="C324" s="6" t="s">
        <v>5516</v>
      </c>
      <c r="D324" s="7" t="s">
        <v>4837</v>
      </c>
      <c r="E324" s="7" t="s">
        <v>5517</v>
      </c>
      <c r="F324" s="6" t="s">
        <v>3810</v>
      </c>
      <c r="G324" s="6" t="s">
        <v>3819</v>
      </c>
    </row>
    <row r="325" customFormat="false" ht="21.75" hidden="false" customHeight="true" outlineLevel="0" collapsed="false">
      <c r="B325" s="4" t="s">
        <v>199</v>
      </c>
      <c r="C325" s="4" t="s">
        <v>5518</v>
      </c>
      <c r="D325" s="5" t="s">
        <v>4822</v>
      </c>
      <c r="E325" s="5" t="s">
        <v>5519</v>
      </c>
      <c r="F325" s="4" t="s">
        <v>5516</v>
      </c>
      <c r="G325" s="4" t="s">
        <v>3826</v>
      </c>
    </row>
    <row r="326" customFormat="false" ht="21.75" hidden="false" customHeight="true" outlineLevel="0" collapsed="false">
      <c r="B326" s="6" t="s">
        <v>199</v>
      </c>
      <c r="C326" s="6" t="s">
        <v>5520</v>
      </c>
      <c r="D326" s="7" t="s">
        <v>4895</v>
      </c>
      <c r="E326" s="7" t="s">
        <v>5521</v>
      </c>
      <c r="F326" s="6" t="s">
        <v>5518</v>
      </c>
      <c r="G326" s="6" t="s">
        <v>3834</v>
      </c>
    </row>
    <row r="327" customFormat="false" ht="21.75" hidden="false" customHeight="true" outlineLevel="0" collapsed="false">
      <c r="B327" s="4" t="s">
        <v>199</v>
      </c>
      <c r="C327" s="4" t="s">
        <v>5522</v>
      </c>
      <c r="D327" s="5" t="s">
        <v>4833</v>
      </c>
      <c r="E327" s="5" t="s">
        <v>5523</v>
      </c>
      <c r="F327" s="4" t="s">
        <v>5520</v>
      </c>
      <c r="G327" s="4" t="s">
        <v>3841</v>
      </c>
    </row>
    <row r="328" customFormat="false" ht="21.75" hidden="false" customHeight="true" outlineLevel="0" collapsed="false">
      <c r="B328" s="6" t="s">
        <v>199</v>
      </c>
      <c r="C328" s="6" t="s">
        <v>5524</v>
      </c>
      <c r="D328" s="7" t="s">
        <v>4851</v>
      </c>
      <c r="E328" s="7" t="s">
        <v>5525</v>
      </c>
      <c r="F328" s="6" t="s">
        <v>5516</v>
      </c>
      <c r="G328" s="6" t="s">
        <v>3849</v>
      </c>
    </row>
    <row r="329" customFormat="false" ht="21.75" hidden="false" customHeight="true" outlineLevel="0" collapsed="false">
      <c r="B329" s="4" t="s">
        <v>199</v>
      </c>
      <c r="C329" s="4" t="s">
        <v>5526</v>
      </c>
      <c r="D329" s="5" t="s">
        <v>2</v>
      </c>
      <c r="E329" s="5" t="s">
        <v>5527</v>
      </c>
      <c r="F329" s="4" t="s">
        <v>5522</v>
      </c>
      <c r="G329" s="4" t="s">
        <v>3857</v>
      </c>
    </row>
    <row r="330" customFormat="false" ht="21.75" hidden="false" customHeight="true" outlineLevel="0" collapsed="false">
      <c r="B330" s="6" t="s">
        <v>199</v>
      </c>
      <c r="C330" s="6" t="s">
        <v>5528</v>
      </c>
      <c r="D330" s="7" t="s">
        <v>2</v>
      </c>
      <c r="E330" s="7" t="s">
        <v>5529</v>
      </c>
      <c r="F330" s="6" t="s">
        <v>5522</v>
      </c>
      <c r="G330" s="6" t="s">
        <v>3865</v>
      </c>
    </row>
    <row r="331" customFormat="false" ht="21.75" hidden="false" customHeight="true" outlineLevel="0" collapsed="false">
      <c r="B331" s="4" t="s">
        <v>199</v>
      </c>
      <c r="C331" s="4" t="s">
        <v>5530</v>
      </c>
      <c r="D331" s="5" t="s">
        <v>2</v>
      </c>
      <c r="E331" s="5" t="s">
        <v>5531</v>
      </c>
      <c r="F331" s="4" t="s">
        <v>5518</v>
      </c>
      <c r="G331" s="4" t="s">
        <v>3880</v>
      </c>
    </row>
    <row r="332" customFormat="false" ht="21.75" hidden="false" customHeight="true" outlineLevel="0" collapsed="false">
      <c r="B332" s="6" t="s">
        <v>199</v>
      </c>
      <c r="C332" s="6" t="s">
        <v>5532</v>
      </c>
      <c r="D332" s="7" t="s">
        <v>4822</v>
      </c>
      <c r="E332" s="7" t="s">
        <v>5533</v>
      </c>
      <c r="F332" s="6" t="s">
        <v>5520</v>
      </c>
      <c r="G332" s="6" t="s">
        <v>3887</v>
      </c>
    </row>
    <row r="333" customFormat="false" ht="21.75" hidden="false" customHeight="true" outlineLevel="0" collapsed="false">
      <c r="B333" s="4" t="s">
        <v>204</v>
      </c>
      <c r="C333" s="4" t="s">
        <v>5534</v>
      </c>
      <c r="D333" s="5" t="s">
        <v>4837</v>
      </c>
      <c r="E333" s="5" t="s">
        <v>5535</v>
      </c>
      <c r="F333" s="4"/>
      <c r="G333" s="4" t="s">
        <v>3895</v>
      </c>
    </row>
    <row r="334" customFormat="false" ht="21.75" hidden="false" customHeight="true" outlineLevel="0" collapsed="false">
      <c r="B334" s="6" t="s">
        <v>204</v>
      </c>
      <c r="C334" s="6" t="s">
        <v>5536</v>
      </c>
      <c r="D334" s="7" t="s">
        <v>2</v>
      </c>
      <c r="E334" s="7" t="s">
        <v>5537</v>
      </c>
      <c r="F334" s="6"/>
      <c r="G334" s="6" t="s">
        <v>3902</v>
      </c>
    </row>
    <row r="335" customFormat="false" ht="21.75" hidden="false" customHeight="true" outlineLevel="0" collapsed="false">
      <c r="B335" s="4" t="s">
        <v>204</v>
      </c>
      <c r="C335" s="4" t="s">
        <v>5538</v>
      </c>
      <c r="D335" s="5" t="s">
        <v>4960</v>
      </c>
      <c r="E335" s="5" t="s">
        <v>5539</v>
      </c>
      <c r="F335" s="4" t="s">
        <v>5536</v>
      </c>
      <c r="G335" s="4" t="s">
        <v>3916</v>
      </c>
    </row>
    <row r="336" customFormat="false" ht="21.75" hidden="false" customHeight="true" outlineLevel="0" collapsed="false">
      <c r="B336" s="6" t="s">
        <v>204</v>
      </c>
      <c r="C336" s="6" t="s">
        <v>5540</v>
      </c>
      <c r="D336" s="7" t="s">
        <v>4822</v>
      </c>
      <c r="E336" s="7" t="s">
        <v>5541</v>
      </c>
      <c r="F336" s="6" t="s">
        <v>5538</v>
      </c>
      <c r="G336" s="6" t="s">
        <v>3923</v>
      </c>
    </row>
    <row r="337" customFormat="false" ht="21.75" hidden="false" customHeight="true" outlineLevel="0" collapsed="false">
      <c r="B337" s="4" t="s">
        <v>204</v>
      </c>
      <c r="C337" s="4" t="s">
        <v>5542</v>
      </c>
      <c r="D337" s="5" t="s">
        <v>4854</v>
      </c>
      <c r="E337" s="5" t="s">
        <v>5543</v>
      </c>
      <c r="F337" s="4" t="s">
        <v>5536</v>
      </c>
      <c r="G337" s="4" t="s">
        <v>3931</v>
      </c>
    </row>
    <row r="338" customFormat="false" ht="21.75" hidden="false" customHeight="true" outlineLevel="0" collapsed="false">
      <c r="B338" s="6" t="s">
        <v>204</v>
      </c>
      <c r="C338" s="6" t="s">
        <v>5544</v>
      </c>
      <c r="D338" s="7" t="s">
        <v>4854</v>
      </c>
      <c r="E338" s="7" t="s">
        <v>5545</v>
      </c>
      <c r="F338" s="6" t="s">
        <v>5538</v>
      </c>
      <c r="G338" s="6" t="s">
        <v>3938</v>
      </c>
    </row>
    <row r="339" customFormat="false" ht="21.75" hidden="false" customHeight="true" outlineLevel="0" collapsed="false">
      <c r="B339" s="4" t="s">
        <v>204</v>
      </c>
      <c r="C339" s="4" t="s">
        <v>5546</v>
      </c>
      <c r="D339" s="5" t="s">
        <v>4851</v>
      </c>
      <c r="E339" s="5" t="s">
        <v>5547</v>
      </c>
      <c r="F339" s="4" t="s">
        <v>5536</v>
      </c>
      <c r="G339" s="4" t="s">
        <v>3982</v>
      </c>
    </row>
    <row r="340" customFormat="false" ht="21.75" hidden="false" customHeight="true" outlineLevel="0" collapsed="false">
      <c r="B340" s="6" t="s">
        <v>204</v>
      </c>
      <c r="C340" s="6" t="s">
        <v>5548</v>
      </c>
      <c r="D340" s="7" t="s">
        <v>4822</v>
      </c>
      <c r="E340" s="7" t="s">
        <v>5549</v>
      </c>
      <c r="F340" s="6" t="s">
        <v>5538</v>
      </c>
      <c r="G340" s="6" t="s">
        <v>3960</v>
      </c>
    </row>
    <row r="341" customFormat="false" ht="21.75" hidden="false" customHeight="true" outlineLevel="0" collapsed="false">
      <c r="B341" s="4" t="s">
        <v>204</v>
      </c>
      <c r="C341" s="4" t="s">
        <v>5550</v>
      </c>
      <c r="D341" s="5" t="s">
        <v>4833</v>
      </c>
      <c r="E341" s="5" t="s">
        <v>5551</v>
      </c>
      <c r="F341" s="4" t="s">
        <v>5548</v>
      </c>
      <c r="G341" s="4" t="s">
        <v>3945</v>
      </c>
    </row>
    <row r="342" customFormat="false" ht="21.75" hidden="false" customHeight="true" outlineLevel="0" collapsed="false">
      <c r="B342" s="6" t="s">
        <v>204</v>
      </c>
      <c r="C342" s="6" t="s">
        <v>5552</v>
      </c>
      <c r="D342" s="7" t="s">
        <v>4837</v>
      </c>
      <c r="E342" s="7" t="s">
        <v>5553</v>
      </c>
      <c r="F342" s="6" t="s">
        <v>5550</v>
      </c>
      <c r="G342" s="6" t="s">
        <v>3952</v>
      </c>
    </row>
    <row r="343" customFormat="false" ht="21.75" hidden="false" customHeight="true" outlineLevel="0" collapsed="false">
      <c r="B343" s="4" t="s">
        <v>204</v>
      </c>
      <c r="C343" s="4" t="s">
        <v>5554</v>
      </c>
      <c r="D343" s="5" t="s">
        <v>2</v>
      </c>
      <c r="E343" s="5" t="s">
        <v>5555</v>
      </c>
      <c r="F343" s="4"/>
      <c r="G343" s="4" t="s">
        <v>3967</v>
      </c>
    </row>
    <row r="344" customFormat="false" ht="21.75" hidden="false" customHeight="true" outlineLevel="0" collapsed="false">
      <c r="B344" s="6" t="s">
        <v>204</v>
      </c>
      <c r="C344" s="6" t="s">
        <v>5556</v>
      </c>
      <c r="D344" s="7" t="s">
        <v>4854</v>
      </c>
      <c r="E344" s="7" t="s">
        <v>5557</v>
      </c>
      <c r="F344" s="6" t="s">
        <v>5546</v>
      </c>
      <c r="G344" s="6" t="s">
        <v>3975</v>
      </c>
    </row>
    <row r="345" customFormat="false" ht="21.75" hidden="false" customHeight="true" outlineLevel="0" collapsed="false">
      <c r="B345" s="4" t="s">
        <v>209</v>
      </c>
      <c r="C345" s="4" t="s">
        <v>5558</v>
      </c>
      <c r="D345" s="5" t="s">
        <v>2</v>
      </c>
      <c r="E345" s="5" t="s">
        <v>5559</v>
      </c>
      <c r="F345" s="4"/>
      <c r="G345" s="4" t="s">
        <v>3996</v>
      </c>
    </row>
    <row r="346" customFormat="false" ht="21.75" hidden="false" customHeight="true" outlineLevel="0" collapsed="false">
      <c r="B346" s="6" t="s">
        <v>209</v>
      </c>
      <c r="C346" s="6" t="s">
        <v>5560</v>
      </c>
      <c r="D346" s="7" t="s">
        <v>4854</v>
      </c>
      <c r="E346" s="7" t="s">
        <v>5561</v>
      </c>
      <c r="F346" s="6" t="s">
        <v>5558</v>
      </c>
      <c r="G346" s="6" t="s">
        <v>4003</v>
      </c>
    </row>
    <row r="347" customFormat="false" ht="21.75" hidden="false" customHeight="true" outlineLevel="0" collapsed="false">
      <c r="B347" s="4" t="s">
        <v>209</v>
      </c>
      <c r="C347" s="4" t="s">
        <v>5562</v>
      </c>
      <c r="D347" s="5" t="s">
        <v>4837</v>
      </c>
      <c r="E347" s="5" t="s">
        <v>5563</v>
      </c>
      <c r="F347" s="4" t="s">
        <v>5560</v>
      </c>
      <c r="G347" s="4" t="s">
        <v>4010</v>
      </c>
    </row>
    <row r="348" customFormat="false" ht="21.75" hidden="false" customHeight="true" outlineLevel="0" collapsed="false">
      <c r="B348" s="6" t="s">
        <v>209</v>
      </c>
      <c r="C348" s="6" t="s">
        <v>5564</v>
      </c>
      <c r="D348" s="7" t="s">
        <v>4960</v>
      </c>
      <c r="E348" s="7" t="s">
        <v>5565</v>
      </c>
      <c r="F348" s="6" t="s">
        <v>5560</v>
      </c>
      <c r="G348" s="6" t="s">
        <v>4018</v>
      </c>
    </row>
    <row r="349" customFormat="false" ht="21.75" hidden="false" customHeight="true" outlineLevel="0" collapsed="false">
      <c r="B349" s="4" t="s">
        <v>209</v>
      </c>
      <c r="C349" s="4" t="s">
        <v>5566</v>
      </c>
      <c r="D349" s="5" t="s">
        <v>4897</v>
      </c>
      <c r="E349" s="5" t="s">
        <v>5567</v>
      </c>
      <c r="F349" s="4" t="s">
        <v>5564</v>
      </c>
      <c r="G349" s="4" t="s">
        <v>4057</v>
      </c>
    </row>
    <row r="350" customFormat="false" ht="21.75" hidden="false" customHeight="true" outlineLevel="0" collapsed="false">
      <c r="B350" s="6" t="s">
        <v>209</v>
      </c>
      <c r="C350" s="6" t="s">
        <v>5568</v>
      </c>
      <c r="D350" s="7" t="s">
        <v>4851</v>
      </c>
      <c r="E350" s="7" t="s">
        <v>5569</v>
      </c>
      <c r="F350" s="6" t="s">
        <v>5560</v>
      </c>
      <c r="G350" s="6" t="s">
        <v>4041</v>
      </c>
    </row>
    <row r="351" customFormat="false" ht="21.75" hidden="false" customHeight="true" outlineLevel="0" collapsed="false">
      <c r="B351" s="4" t="s">
        <v>209</v>
      </c>
      <c r="C351" s="4" t="s">
        <v>5570</v>
      </c>
      <c r="D351" s="5" t="s">
        <v>4822</v>
      </c>
      <c r="E351" s="5" t="s">
        <v>5571</v>
      </c>
      <c r="F351" s="4"/>
      <c r="G351" s="4" t="s">
        <v>4049</v>
      </c>
    </row>
    <row r="352" customFormat="false" ht="21.75" hidden="false" customHeight="true" outlineLevel="0" collapsed="false">
      <c r="B352" s="6" t="s">
        <v>209</v>
      </c>
      <c r="C352" s="6" t="s">
        <v>5572</v>
      </c>
      <c r="D352" s="7" t="s">
        <v>2</v>
      </c>
      <c r="E352" s="7" t="s">
        <v>5573</v>
      </c>
      <c r="F352" s="6" t="s">
        <v>5558</v>
      </c>
      <c r="G352" s="6" t="s">
        <v>4087</v>
      </c>
    </row>
    <row r="353" customFormat="false" ht="21.75" hidden="false" customHeight="true" outlineLevel="0" collapsed="false">
      <c r="B353" s="4" t="s">
        <v>209</v>
      </c>
      <c r="C353" s="4" t="s">
        <v>5574</v>
      </c>
      <c r="D353" s="5" t="s">
        <v>4960</v>
      </c>
      <c r="E353" s="5" t="s">
        <v>5575</v>
      </c>
      <c r="F353" s="4" t="s">
        <v>5558</v>
      </c>
      <c r="G353" s="4" t="s">
        <v>4065</v>
      </c>
    </row>
    <row r="354" customFormat="false" ht="21.75" hidden="false" customHeight="true" outlineLevel="0" collapsed="false">
      <c r="B354" s="6" t="s">
        <v>209</v>
      </c>
      <c r="C354" s="6" t="s">
        <v>5576</v>
      </c>
      <c r="D354" s="7" t="s">
        <v>4895</v>
      </c>
      <c r="E354" s="7" t="s">
        <v>5577</v>
      </c>
      <c r="F354" s="6" t="s">
        <v>5574</v>
      </c>
      <c r="G354" s="6" t="s">
        <v>4072</v>
      </c>
    </row>
    <row r="355" customFormat="false" ht="21.75" hidden="false" customHeight="true" outlineLevel="0" collapsed="false">
      <c r="B355" s="4" t="s">
        <v>209</v>
      </c>
      <c r="C355" s="4" t="s">
        <v>5578</v>
      </c>
      <c r="D355" s="5" t="s">
        <v>4837</v>
      </c>
      <c r="E355" s="5" t="s">
        <v>5579</v>
      </c>
      <c r="F355" s="4" t="s">
        <v>5576</v>
      </c>
      <c r="G355" s="4" t="s">
        <v>4080</v>
      </c>
    </row>
    <row r="356" customFormat="false" ht="21.75" hidden="false" customHeight="true" outlineLevel="0" collapsed="false">
      <c r="B356" s="6" t="s">
        <v>209</v>
      </c>
      <c r="C356" s="6" t="s">
        <v>5580</v>
      </c>
      <c r="D356" s="7" t="s">
        <v>4822</v>
      </c>
      <c r="E356" s="7" t="s">
        <v>5581</v>
      </c>
      <c r="F356" s="6"/>
      <c r="G356" s="6" t="s">
        <v>4102</v>
      </c>
    </row>
    <row r="357" customFormat="false" ht="21.75" hidden="false" customHeight="true" outlineLevel="0" collapsed="false">
      <c r="B357" s="4" t="s">
        <v>209</v>
      </c>
      <c r="C357" s="4" t="s">
        <v>5582</v>
      </c>
      <c r="D357" s="5" t="s">
        <v>4833</v>
      </c>
      <c r="E357" s="5" t="s">
        <v>5583</v>
      </c>
      <c r="F357" s="4" t="s">
        <v>5584</v>
      </c>
      <c r="G357" s="4" t="s">
        <v>4094</v>
      </c>
    </row>
    <row r="358" customFormat="false" ht="21.75" hidden="false" customHeight="true" outlineLevel="0" collapsed="false">
      <c r="B358" s="6" t="s">
        <v>213</v>
      </c>
      <c r="C358" s="6" t="s">
        <v>5585</v>
      </c>
      <c r="D358" s="7" t="s">
        <v>4854</v>
      </c>
      <c r="E358" s="7" t="s">
        <v>5586</v>
      </c>
      <c r="F358" s="6"/>
      <c r="G358" s="6" t="s">
        <v>4116</v>
      </c>
    </row>
    <row r="359" customFormat="false" ht="21.75" hidden="false" customHeight="true" outlineLevel="0" collapsed="false">
      <c r="B359" s="4" t="s">
        <v>213</v>
      </c>
      <c r="C359" s="4" t="s">
        <v>5587</v>
      </c>
      <c r="D359" s="5" t="s">
        <v>4822</v>
      </c>
      <c r="E359" s="5" t="s">
        <v>5588</v>
      </c>
      <c r="F359" s="4" t="s">
        <v>5585</v>
      </c>
      <c r="G359" s="4" t="s">
        <v>4124</v>
      </c>
    </row>
    <row r="360" customFormat="false" ht="21.75" hidden="false" customHeight="true" outlineLevel="0" collapsed="false">
      <c r="B360" s="6" t="s">
        <v>213</v>
      </c>
      <c r="C360" s="6" t="s">
        <v>5589</v>
      </c>
      <c r="D360" s="7" t="s">
        <v>4851</v>
      </c>
      <c r="E360" s="7" t="s">
        <v>5590</v>
      </c>
      <c r="F360" s="6" t="s">
        <v>5585</v>
      </c>
      <c r="G360" s="6" t="s">
        <v>4132</v>
      </c>
    </row>
    <row r="361" customFormat="false" ht="21.75" hidden="false" customHeight="true" outlineLevel="0" collapsed="false">
      <c r="B361" s="4" t="s">
        <v>213</v>
      </c>
      <c r="C361" s="4" t="s">
        <v>5591</v>
      </c>
      <c r="D361" s="5" t="s">
        <v>4851</v>
      </c>
      <c r="E361" s="5" t="s">
        <v>5592</v>
      </c>
      <c r="F361" s="4" t="s">
        <v>5585</v>
      </c>
      <c r="G361" s="4" t="s">
        <v>4153</v>
      </c>
    </row>
    <row r="362" customFormat="false" ht="21.75" hidden="false" customHeight="true" outlineLevel="0" collapsed="false">
      <c r="B362" s="6" t="s">
        <v>213</v>
      </c>
      <c r="C362" s="6" t="s">
        <v>5593</v>
      </c>
      <c r="D362" s="7" t="s">
        <v>4851</v>
      </c>
      <c r="E362" s="7" t="s">
        <v>5594</v>
      </c>
      <c r="F362" s="6" t="s">
        <v>5585</v>
      </c>
      <c r="G362" s="6" t="s">
        <v>4173</v>
      </c>
    </row>
    <row r="363" customFormat="false" ht="21.75" hidden="false" customHeight="true" outlineLevel="0" collapsed="false">
      <c r="B363" s="4" t="s">
        <v>213</v>
      </c>
      <c r="C363" s="4" t="s">
        <v>5595</v>
      </c>
      <c r="D363" s="5" t="s">
        <v>4851</v>
      </c>
      <c r="E363" s="5" t="s">
        <v>5596</v>
      </c>
      <c r="F363" s="4" t="s">
        <v>5585</v>
      </c>
      <c r="G363" s="4" t="s">
        <v>4194</v>
      </c>
    </row>
    <row r="364" customFormat="false" ht="21.75" hidden="false" customHeight="true" outlineLevel="0" collapsed="false">
      <c r="B364" s="6" t="s">
        <v>213</v>
      </c>
      <c r="C364" s="6" t="s">
        <v>5597</v>
      </c>
      <c r="D364" s="7" t="s">
        <v>2</v>
      </c>
      <c r="E364" s="7" t="s">
        <v>5598</v>
      </c>
      <c r="F364" s="6" t="s">
        <v>5585</v>
      </c>
      <c r="G364" s="6" t="s">
        <v>4214</v>
      </c>
    </row>
    <row r="365" customFormat="false" ht="21.75" hidden="false" customHeight="true" outlineLevel="0" collapsed="false">
      <c r="B365" s="4" t="s">
        <v>213</v>
      </c>
      <c r="C365" s="4" t="s">
        <v>5599</v>
      </c>
      <c r="D365" s="5" t="s">
        <v>4895</v>
      </c>
      <c r="E365" s="5" t="s">
        <v>5600</v>
      </c>
      <c r="F365" s="4" t="s">
        <v>5601</v>
      </c>
      <c r="G365" s="4" t="s">
        <v>4139</v>
      </c>
    </row>
    <row r="366" customFormat="false" ht="21.75" hidden="false" customHeight="true" outlineLevel="0" collapsed="false">
      <c r="B366" s="6" t="s">
        <v>213</v>
      </c>
      <c r="C366" s="6" t="s">
        <v>5602</v>
      </c>
      <c r="D366" s="7" t="s">
        <v>4837</v>
      </c>
      <c r="E366" s="7" t="s">
        <v>5603</v>
      </c>
      <c r="F366" s="6" t="s">
        <v>5604</v>
      </c>
      <c r="G366" s="6" t="s">
        <v>4159</v>
      </c>
    </row>
    <row r="367" customFormat="false" ht="21.75" hidden="false" customHeight="true" outlineLevel="0" collapsed="false">
      <c r="B367" s="4" t="s">
        <v>213</v>
      </c>
      <c r="C367" s="4" t="s">
        <v>5605</v>
      </c>
      <c r="D367" s="5" t="s">
        <v>4960</v>
      </c>
      <c r="E367" s="5" t="s">
        <v>5606</v>
      </c>
      <c r="F367" s="4" t="s">
        <v>5607</v>
      </c>
      <c r="G367" s="4" t="s">
        <v>4179</v>
      </c>
    </row>
    <row r="368" customFormat="false" ht="21.75" hidden="false" customHeight="true" outlineLevel="0" collapsed="false">
      <c r="B368" s="6" t="s">
        <v>213</v>
      </c>
      <c r="C368" s="6" t="s">
        <v>5608</v>
      </c>
      <c r="D368" s="7" t="s">
        <v>4822</v>
      </c>
      <c r="E368" s="7" t="s">
        <v>5609</v>
      </c>
      <c r="F368" s="6" t="s">
        <v>5610</v>
      </c>
      <c r="G368" s="6" t="s">
        <v>4200</v>
      </c>
    </row>
    <row r="369" customFormat="false" ht="21.75" hidden="false" customHeight="true" outlineLevel="0" collapsed="false">
      <c r="B369" s="4" t="s">
        <v>213</v>
      </c>
      <c r="C369" s="4" t="s">
        <v>5611</v>
      </c>
      <c r="D369" s="5" t="s">
        <v>4897</v>
      </c>
      <c r="E369" s="5" t="s">
        <v>5612</v>
      </c>
      <c r="F369" s="4" t="s">
        <v>5597</v>
      </c>
      <c r="G369" s="4" t="s">
        <v>4222</v>
      </c>
    </row>
    <row r="370" customFormat="false" ht="21.75" hidden="false" customHeight="true" outlineLevel="0" collapsed="false">
      <c r="B370" s="6" t="s">
        <v>213</v>
      </c>
      <c r="C370" s="6" t="s">
        <v>5613</v>
      </c>
      <c r="D370" s="7" t="s">
        <v>4833</v>
      </c>
      <c r="E370" s="7" t="s">
        <v>5614</v>
      </c>
      <c r="F370" s="6" t="s">
        <v>5587</v>
      </c>
      <c r="G370" s="6" t="s">
        <v>4230</v>
      </c>
    </row>
  </sheetData>
  <mergeCells count="1">
    <mergeCell ref="B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24"/>
    <col collapsed="false" customWidth="true" hidden="false" outlineLevel="0" max="4" min="4" style="1" width="8"/>
    <col collapsed="false" customWidth="true" hidden="false" outlineLevel="0" max="5" min="5" style="1" width="22"/>
    <col collapsed="false" customWidth="true" hidden="false" outlineLevel="0" max="6" min="6" style="1" width="14"/>
    <col collapsed="false" customWidth="true" hidden="false" outlineLevel="0" max="7" min="7" style="1" width="80"/>
  </cols>
  <sheetData>
    <row r="2" customFormat="false" ht="31.5" hidden="false" customHeight="true" outlineLevel="0" collapsed="false">
      <c r="B2" s="2" t="s">
        <v>5615</v>
      </c>
      <c r="C2" s="2"/>
      <c r="D2" s="2"/>
      <c r="E2" s="2"/>
      <c r="F2" s="2"/>
      <c r="G2" s="2"/>
    </row>
    <row r="3" customFormat="false" ht="7.5" hidden="false" customHeight="true" outlineLevel="0" collapsed="false"/>
    <row r="4" customFormat="false" ht="27.75" hidden="false" customHeight="true" outlineLevel="0" collapsed="false">
      <c r="B4" s="3" t="s">
        <v>5616</v>
      </c>
      <c r="C4" s="3" t="s">
        <v>5617</v>
      </c>
      <c r="D4" s="3" t="s">
        <v>5618</v>
      </c>
      <c r="E4" s="3" t="s">
        <v>33</v>
      </c>
      <c r="F4" s="3" t="s">
        <v>5619</v>
      </c>
      <c r="G4" s="3" t="s">
        <v>5620</v>
      </c>
    </row>
    <row r="5" customFormat="false" ht="21.75" hidden="false" customHeight="true" outlineLevel="0" collapsed="false">
      <c r="B5" s="4" t="s">
        <v>5621</v>
      </c>
      <c r="C5" s="4" t="s">
        <v>5622</v>
      </c>
      <c r="D5" s="4" t="s">
        <v>5623</v>
      </c>
      <c r="E5" s="4" t="s">
        <v>5624</v>
      </c>
      <c r="F5" s="5" t="s">
        <v>5625</v>
      </c>
      <c r="G5" s="4" t="s">
        <v>5626</v>
      </c>
    </row>
    <row r="6" customFormat="false" ht="21.75" hidden="false" customHeight="true" outlineLevel="0" collapsed="false">
      <c r="B6" s="6" t="s">
        <v>5621</v>
      </c>
      <c r="C6" s="6" t="s">
        <v>5622</v>
      </c>
      <c r="D6" s="6" t="s">
        <v>5623</v>
      </c>
      <c r="E6" s="6" t="s">
        <v>87</v>
      </c>
      <c r="F6" s="7" t="s">
        <v>5627</v>
      </c>
      <c r="G6" s="6" t="s">
        <v>5628</v>
      </c>
    </row>
    <row r="7" customFormat="false" ht="21.75" hidden="false" customHeight="true" outlineLevel="0" collapsed="false">
      <c r="B7" s="4" t="s">
        <v>5621</v>
      </c>
      <c r="C7" s="4" t="s">
        <v>5622</v>
      </c>
      <c r="D7" s="4" t="s">
        <v>5623</v>
      </c>
      <c r="E7" s="4" t="s">
        <v>93</v>
      </c>
      <c r="F7" s="5" t="s">
        <v>5627</v>
      </c>
      <c r="G7" s="4" t="s">
        <v>5629</v>
      </c>
    </row>
    <row r="8" customFormat="false" ht="21.75" hidden="false" customHeight="true" outlineLevel="0" collapsed="false">
      <c r="B8" s="6" t="s">
        <v>5621</v>
      </c>
      <c r="C8" s="6" t="s">
        <v>5622</v>
      </c>
      <c r="D8" s="6" t="s">
        <v>5623</v>
      </c>
      <c r="E8" s="6" t="s">
        <v>74</v>
      </c>
      <c r="F8" s="7" t="s">
        <v>5627</v>
      </c>
      <c r="G8" s="6" t="s">
        <v>5630</v>
      </c>
    </row>
    <row r="9" customFormat="false" ht="21.75" hidden="false" customHeight="true" outlineLevel="0" collapsed="false">
      <c r="B9" s="4" t="s">
        <v>5621</v>
      </c>
      <c r="C9" s="4" t="s">
        <v>5622</v>
      </c>
      <c r="D9" s="4" t="s">
        <v>5623</v>
      </c>
      <c r="E9" s="4" t="s">
        <v>81</v>
      </c>
      <c r="F9" s="5" t="s">
        <v>5627</v>
      </c>
      <c r="G9" s="4" t="s">
        <v>5631</v>
      </c>
    </row>
    <row r="10" customFormat="false" ht="21.75" hidden="false" customHeight="true" outlineLevel="0" collapsed="false">
      <c r="B10" s="6" t="s">
        <v>5621</v>
      </c>
      <c r="C10" s="6" t="s">
        <v>5622</v>
      </c>
      <c r="D10" s="6" t="s">
        <v>5623</v>
      </c>
      <c r="E10" s="6" t="s">
        <v>162</v>
      </c>
      <c r="F10" s="7" t="s">
        <v>5627</v>
      </c>
      <c r="G10" s="6" t="s">
        <v>5632</v>
      </c>
    </row>
    <row r="11" customFormat="false" ht="21.75" hidden="false" customHeight="true" outlineLevel="0" collapsed="false">
      <c r="B11" s="4" t="s">
        <v>5621</v>
      </c>
      <c r="C11" s="4" t="s">
        <v>5622</v>
      </c>
      <c r="D11" s="4" t="s">
        <v>5623</v>
      </c>
      <c r="E11" s="4" t="s">
        <v>168</v>
      </c>
      <c r="F11" s="5" t="s">
        <v>5627</v>
      </c>
      <c r="G11" s="4" t="s">
        <v>5633</v>
      </c>
    </row>
    <row r="12" customFormat="false" ht="21.75" hidden="false" customHeight="true" outlineLevel="0" collapsed="false">
      <c r="B12" s="6" t="s">
        <v>5621</v>
      </c>
      <c r="C12" s="6" t="s">
        <v>5622</v>
      </c>
      <c r="D12" s="6" t="s">
        <v>5623</v>
      </c>
      <c r="E12" s="6" t="s">
        <v>174</v>
      </c>
      <c r="F12" s="7" t="s">
        <v>5627</v>
      </c>
      <c r="G12" s="6" t="s">
        <v>5634</v>
      </c>
    </row>
    <row r="13" customFormat="false" ht="21.75" hidden="false" customHeight="true" outlineLevel="0" collapsed="false">
      <c r="B13" s="4" t="s">
        <v>5621</v>
      </c>
      <c r="C13" s="4" t="s">
        <v>5622</v>
      </c>
      <c r="D13" s="4" t="s">
        <v>5623</v>
      </c>
      <c r="E13" s="4" t="s">
        <v>150</v>
      </c>
      <c r="F13" s="5" t="s">
        <v>5627</v>
      </c>
      <c r="G13" s="4" t="s">
        <v>5635</v>
      </c>
    </row>
    <row r="14" customFormat="false" ht="21.75" hidden="false" customHeight="true" outlineLevel="0" collapsed="false">
      <c r="B14" s="6" t="s">
        <v>5621</v>
      </c>
      <c r="C14" s="6" t="s">
        <v>5622</v>
      </c>
      <c r="D14" s="6" t="s">
        <v>5623</v>
      </c>
      <c r="E14" s="6" t="s">
        <v>143</v>
      </c>
      <c r="F14" s="7" t="s">
        <v>5627</v>
      </c>
      <c r="G14" s="6" t="s">
        <v>5636</v>
      </c>
    </row>
    <row r="15" customFormat="false" ht="21.75" hidden="false" customHeight="true" outlineLevel="0" collapsed="false">
      <c r="B15" s="4" t="s">
        <v>5621</v>
      </c>
      <c r="C15" s="4" t="s">
        <v>5622</v>
      </c>
      <c r="D15" s="4" t="s">
        <v>5623</v>
      </c>
      <c r="E15" s="4" t="s">
        <v>156</v>
      </c>
      <c r="F15" s="5" t="s">
        <v>5627</v>
      </c>
      <c r="G15" s="4" t="s">
        <v>5637</v>
      </c>
    </row>
    <row r="16" customFormat="false" ht="21.75" hidden="false" customHeight="true" outlineLevel="0" collapsed="false">
      <c r="B16" s="6" t="s">
        <v>5621</v>
      </c>
      <c r="C16" s="6" t="s">
        <v>5622</v>
      </c>
      <c r="D16" s="6" t="s">
        <v>5623</v>
      </c>
      <c r="E16" s="6" t="s">
        <v>190</v>
      </c>
      <c r="F16" s="7" t="s">
        <v>5627</v>
      </c>
      <c r="G16" s="6" t="s">
        <v>5638</v>
      </c>
    </row>
    <row r="17" customFormat="false" ht="21.75" hidden="false" customHeight="true" outlineLevel="0" collapsed="false">
      <c r="B17" s="4" t="s">
        <v>5621</v>
      </c>
      <c r="C17" s="4" t="s">
        <v>5622</v>
      </c>
      <c r="D17" s="4" t="s">
        <v>5623</v>
      </c>
      <c r="E17" s="4" t="s">
        <v>195</v>
      </c>
      <c r="F17" s="5" t="s">
        <v>5627</v>
      </c>
      <c r="G17" s="4" t="s">
        <v>5639</v>
      </c>
    </row>
    <row r="18" customFormat="false" ht="21.75" hidden="false" customHeight="true" outlineLevel="0" collapsed="false">
      <c r="B18" s="6" t="s">
        <v>5621</v>
      </c>
      <c r="C18" s="6" t="s">
        <v>5622</v>
      </c>
      <c r="D18" s="6" t="s">
        <v>5623</v>
      </c>
      <c r="E18" s="6" t="s">
        <v>213</v>
      </c>
      <c r="F18" s="7" t="s">
        <v>5627</v>
      </c>
      <c r="G18" s="6" t="s">
        <v>5640</v>
      </c>
    </row>
    <row r="19" customFormat="false" ht="21.75" hidden="false" customHeight="true" outlineLevel="0" collapsed="false">
      <c r="B19" s="4" t="s">
        <v>5621</v>
      </c>
      <c r="C19" s="4" t="s">
        <v>5622</v>
      </c>
      <c r="D19" s="4" t="s">
        <v>5623</v>
      </c>
      <c r="E19" s="4" t="s">
        <v>199</v>
      </c>
      <c r="F19" s="5" t="s">
        <v>5627</v>
      </c>
      <c r="G19" s="4" t="s">
        <v>5641</v>
      </c>
    </row>
    <row r="20" customFormat="false" ht="21.75" hidden="false" customHeight="true" outlineLevel="0" collapsed="false">
      <c r="B20" s="6" t="s">
        <v>5621</v>
      </c>
      <c r="C20" s="6" t="s">
        <v>5622</v>
      </c>
      <c r="D20" s="6" t="s">
        <v>5623</v>
      </c>
      <c r="E20" s="6" t="s">
        <v>204</v>
      </c>
      <c r="F20" s="7" t="s">
        <v>5627</v>
      </c>
      <c r="G20" s="6" t="s">
        <v>5642</v>
      </c>
    </row>
    <row r="21" customFormat="false" ht="21.75" hidden="false" customHeight="true" outlineLevel="0" collapsed="false">
      <c r="B21" s="4" t="s">
        <v>5621</v>
      </c>
      <c r="C21" s="4" t="s">
        <v>5622</v>
      </c>
      <c r="D21" s="4" t="s">
        <v>5623</v>
      </c>
      <c r="E21" s="4" t="s">
        <v>185</v>
      </c>
      <c r="F21" s="5" t="s">
        <v>5627</v>
      </c>
      <c r="G21" s="4" t="s">
        <v>5643</v>
      </c>
    </row>
    <row r="22" customFormat="false" ht="21.75" hidden="false" customHeight="true" outlineLevel="0" collapsed="false">
      <c r="B22" s="6" t="s">
        <v>5621</v>
      </c>
      <c r="C22" s="6" t="s">
        <v>5622</v>
      </c>
      <c r="D22" s="6" t="s">
        <v>5623</v>
      </c>
      <c r="E22" s="6" t="s">
        <v>209</v>
      </c>
      <c r="F22" s="7" t="s">
        <v>5627</v>
      </c>
      <c r="G22" s="6" t="s">
        <v>5644</v>
      </c>
    </row>
    <row r="23" customFormat="false" ht="21.75" hidden="false" customHeight="true" outlineLevel="0" collapsed="false">
      <c r="B23" s="4" t="s">
        <v>5621</v>
      </c>
      <c r="C23" s="4" t="s">
        <v>5622</v>
      </c>
      <c r="D23" s="4" t="s">
        <v>5623</v>
      </c>
      <c r="E23" s="4" t="s">
        <v>179</v>
      </c>
      <c r="F23" s="5" t="s">
        <v>5627</v>
      </c>
      <c r="G23" s="4" t="s">
        <v>5645</v>
      </c>
    </row>
    <row r="24" customFormat="false" ht="21.75" hidden="false" customHeight="true" outlineLevel="0" collapsed="false">
      <c r="B24" s="6" t="s">
        <v>5621</v>
      </c>
      <c r="C24" s="6" t="s">
        <v>5622</v>
      </c>
      <c r="D24" s="6" t="s">
        <v>5623</v>
      </c>
      <c r="E24" s="6" t="s">
        <v>125</v>
      </c>
      <c r="F24" s="7" t="s">
        <v>5627</v>
      </c>
      <c r="G24" s="6" t="s">
        <v>5646</v>
      </c>
    </row>
    <row r="25" customFormat="false" ht="21.75" hidden="false" customHeight="true" outlineLevel="0" collapsed="false">
      <c r="B25" s="4" t="s">
        <v>5621</v>
      </c>
      <c r="C25" s="4" t="s">
        <v>5622</v>
      </c>
      <c r="D25" s="4" t="s">
        <v>5623</v>
      </c>
      <c r="E25" s="4" t="s">
        <v>131</v>
      </c>
      <c r="F25" s="5" t="s">
        <v>5627</v>
      </c>
      <c r="G25" s="4" t="s">
        <v>5647</v>
      </c>
    </row>
    <row r="26" customFormat="false" ht="21.75" hidden="false" customHeight="true" outlineLevel="0" collapsed="false">
      <c r="B26" s="6" t="s">
        <v>5621</v>
      </c>
      <c r="C26" s="6" t="s">
        <v>5622</v>
      </c>
      <c r="D26" s="6" t="s">
        <v>5623</v>
      </c>
      <c r="E26" s="6" t="s">
        <v>118</v>
      </c>
      <c r="F26" s="7" t="s">
        <v>5627</v>
      </c>
      <c r="G26" s="6" t="s">
        <v>5648</v>
      </c>
    </row>
    <row r="27" customFormat="false" ht="21.75" hidden="false" customHeight="true" outlineLevel="0" collapsed="false">
      <c r="B27" s="4" t="s">
        <v>5621</v>
      </c>
      <c r="C27" s="4" t="s">
        <v>5622</v>
      </c>
      <c r="D27" s="4" t="s">
        <v>5623</v>
      </c>
      <c r="E27" s="4" t="s">
        <v>137</v>
      </c>
      <c r="F27" s="5" t="s">
        <v>5627</v>
      </c>
      <c r="G27" s="4" t="s">
        <v>5649</v>
      </c>
    </row>
    <row r="28" customFormat="false" ht="21.75" hidden="false" customHeight="true" outlineLevel="0" collapsed="false">
      <c r="B28" s="6" t="s">
        <v>5621</v>
      </c>
      <c r="C28" s="6" t="s">
        <v>5622</v>
      </c>
      <c r="D28" s="6" t="s">
        <v>5623</v>
      </c>
      <c r="E28" s="6" t="s">
        <v>62</v>
      </c>
      <c r="F28" s="7" t="s">
        <v>5627</v>
      </c>
      <c r="G28" s="6" t="s">
        <v>5650</v>
      </c>
    </row>
    <row r="29" customFormat="false" ht="21.75" hidden="false" customHeight="true" outlineLevel="0" collapsed="false">
      <c r="B29" s="4" t="s">
        <v>5621</v>
      </c>
      <c r="C29" s="4" t="s">
        <v>5622</v>
      </c>
      <c r="D29" s="4" t="s">
        <v>5623</v>
      </c>
      <c r="E29" s="4" t="s">
        <v>50</v>
      </c>
      <c r="F29" s="5" t="s">
        <v>5627</v>
      </c>
      <c r="G29" s="4" t="s">
        <v>5651</v>
      </c>
    </row>
    <row r="30" customFormat="false" ht="21.75" hidden="false" customHeight="true" outlineLevel="0" collapsed="false">
      <c r="B30" s="6" t="s">
        <v>5621</v>
      </c>
      <c r="C30" s="6" t="s">
        <v>5622</v>
      </c>
      <c r="D30" s="6" t="s">
        <v>5623</v>
      </c>
      <c r="E30" s="6" t="s">
        <v>56</v>
      </c>
      <c r="F30" s="7" t="s">
        <v>5627</v>
      </c>
      <c r="G30" s="6" t="s">
        <v>5652</v>
      </c>
    </row>
    <row r="31" customFormat="false" ht="21.75" hidden="false" customHeight="true" outlineLevel="0" collapsed="false">
      <c r="B31" s="4" t="s">
        <v>5621</v>
      </c>
      <c r="C31" s="4" t="s">
        <v>5622</v>
      </c>
      <c r="D31" s="4" t="s">
        <v>5623</v>
      </c>
      <c r="E31" s="4" t="s">
        <v>68</v>
      </c>
      <c r="F31" s="5" t="s">
        <v>5627</v>
      </c>
      <c r="G31" s="4" t="s">
        <v>5653</v>
      </c>
    </row>
    <row r="32" customFormat="false" ht="21.75" hidden="false" customHeight="true" outlineLevel="0" collapsed="false">
      <c r="B32" s="6" t="s">
        <v>5621</v>
      </c>
      <c r="C32" s="6" t="s">
        <v>5622</v>
      </c>
      <c r="D32" s="6" t="s">
        <v>5623</v>
      </c>
      <c r="E32" s="6" t="s">
        <v>112</v>
      </c>
      <c r="F32" s="7" t="s">
        <v>5627</v>
      </c>
      <c r="G32" s="6" t="s">
        <v>5654</v>
      </c>
    </row>
    <row r="33" customFormat="false" ht="21.75" hidden="false" customHeight="true" outlineLevel="0" collapsed="false">
      <c r="B33" s="4" t="s">
        <v>5621</v>
      </c>
      <c r="C33" s="4" t="s">
        <v>5622</v>
      </c>
      <c r="D33" s="4" t="s">
        <v>5623</v>
      </c>
      <c r="E33" s="4" t="s">
        <v>99</v>
      </c>
      <c r="F33" s="5" t="s">
        <v>5627</v>
      </c>
      <c r="G33" s="4" t="s">
        <v>5655</v>
      </c>
    </row>
    <row r="34" customFormat="false" ht="21.75" hidden="false" customHeight="true" outlineLevel="0" collapsed="false">
      <c r="B34" s="6" t="s">
        <v>5621</v>
      </c>
      <c r="C34" s="6" t="s">
        <v>5622</v>
      </c>
      <c r="D34" s="6" t="s">
        <v>5623</v>
      </c>
      <c r="E34" s="6" t="s">
        <v>106</v>
      </c>
      <c r="F34" s="7" t="s">
        <v>5627</v>
      </c>
      <c r="G34" s="6" t="s">
        <v>5656</v>
      </c>
    </row>
    <row r="35" customFormat="false" ht="21.75" hidden="false" customHeight="true" outlineLevel="0" collapsed="false">
      <c r="B35" s="4" t="s">
        <v>5621</v>
      </c>
      <c r="C35" s="4" t="s">
        <v>5622</v>
      </c>
      <c r="D35" s="4" t="s">
        <v>5623</v>
      </c>
      <c r="E35" s="4" t="s">
        <v>5657</v>
      </c>
      <c r="F35" s="5" t="s">
        <v>5658</v>
      </c>
      <c r="G35" s="4" t="s">
        <v>5659</v>
      </c>
    </row>
    <row r="36" customFormat="false" ht="21.75" hidden="false" customHeight="true" outlineLevel="0" collapsed="false">
      <c r="B36" s="6" t="s">
        <v>5621</v>
      </c>
      <c r="C36" s="6" t="s">
        <v>5622</v>
      </c>
      <c r="D36" s="6" t="s">
        <v>5623</v>
      </c>
      <c r="E36" s="6" t="s">
        <v>5657</v>
      </c>
      <c r="F36" s="7" t="s">
        <v>4933</v>
      </c>
      <c r="G36" s="6" t="s">
        <v>5660</v>
      </c>
    </row>
    <row r="37" customFormat="false" ht="21.75" hidden="false" customHeight="true" outlineLevel="0" collapsed="false">
      <c r="B37" s="4" t="s">
        <v>5661</v>
      </c>
      <c r="C37" s="4" t="s">
        <v>5662</v>
      </c>
      <c r="D37" s="4" t="s">
        <v>5663</v>
      </c>
      <c r="E37" s="4" t="s">
        <v>50</v>
      </c>
      <c r="F37" s="5" t="s">
        <v>5664</v>
      </c>
      <c r="G37" s="4" t="s">
        <v>5665</v>
      </c>
    </row>
    <row r="38" customFormat="false" ht="21.75" hidden="false" customHeight="true" outlineLevel="0" collapsed="false">
      <c r="B38" s="6" t="s">
        <v>5661</v>
      </c>
      <c r="C38" s="6" t="s">
        <v>5662</v>
      </c>
      <c r="D38" s="6" t="s">
        <v>5663</v>
      </c>
      <c r="E38" s="6" t="s">
        <v>50</v>
      </c>
      <c r="F38" s="7" t="s">
        <v>5666</v>
      </c>
      <c r="G38" s="6" t="s">
        <v>5667</v>
      </c>
    </row>
    <row r="39" customFormat="false" ht="21.75" hidden="false" customHeight="true" outlineLevel="0" collapsed="false">
      <c r="B39" s="4" t="s">
        <v>5661</v>
      </c>
      <c r="C39" s="4" t="s">
        <v>5662</v>
      </c>
      <c r="D39" s="4" t="s">
        <v>5663</v>
      </c>
      <c r="E39" s="4" t="s">
        <v>50</v>
      </c>
      <c r="F39" s="5" t="s">
        <v>5668</v>
      </c>
      <c r="G39" s="4" t="s">
        <v>5669</v>
      </c>
    </row>
    <row r="40" customFormat="false" ht="21.75" hidden="false" customHeight="true" outlineLevel="0" collapsed="false">
      <c r="B40" s="6" t="s">
        <v>5670</v>
      </c>
      <c r="C40" s="6" t="s">
        <v>5662</v>
      </c>
      <c r="D40" s="6" t="s">
        <v>5663</v>
      </c>
      <c r="E40" s="6" t="s">
        <v>56</v>
      </c>
      <c r="F40" s="7" t="s">
        <v>5664</v>
      </c>
      <c r="G40" s="6" t="s">
        <v>5671</v>
      </c>
    </row>
    <row r="41" customFormat="false" ht="21.75" hidden="false" customHeight="true" outlineLevel="0" collapsed="false">
      <c r="B41" s="4" t="s">
        <v>5670</v>
      </c>
      <c r="C41" s="4" t="s">
        <v>5662</v>
      </c>
      <c r="D41" s="4" t="s">
        <v>5663</v>
      </c>
      <c r="E41" s="4" t="s">
        <v>56</v>
      </c>
      <c r="F41" s="5" t="s">
        <v>5666</v>
      </c>
      <c r="G41" s="4" t="s">
        <v>5672</v>
      </c>
    </row>
    <row r="42" customFormat="false" ht="21.75" hidden="false" customHeight="true" outlineLevel="0" collapsed="false">
      <c r="B42" s="6" t="s">
        <v>5670</v>
      </c>
      <c r="C42" s="6" t="s">
        <v>5662</v>
      </c>
      <c r="D42" s="6" t="s">
        <v>5663</v>
      </c>
      <c r="E42" s="6" t="s">
        <v>56</v>
      </c>
      <c r="F42" s="7" t="s">
        <v>5668</v>
      </c>
      <c r="G42" s="6" t="s">
        <v>5673</v>
      </c>
    </row>
    <row r="43" customFormat="false" ht="21.75" hidden="false" customHeight="true" outlineLevel="0" collapsed="false">
      <c r="B43" s="4" t="s">
        <v>5674</v>
      </c>
      <c r="C43" s="4" t="s">
        <v>5662</v>
      </c>
      <c r="D43" s="4" t="s">
        <v>5663</v>
      </c>
      <c r="E43" s="4" t="s">
        <v>62</v>
      </c>
      <c r="F43" s="5" t="s">
        <v>5664</v>
      </c>
      <c r="G43" s="4" t="s">
        <v>5675</v>
      </c>
    </row>
    <row r="44" customFormat="false" ht="21.75" hidden="false" customHeight="true" outlineLevel="0" collapsed="false">
      <c r="B44" s="6" t="s">
        <v>5674</v>
      </c>
      <c r="C44" s="6" t="s">
        <v>5662</v>
      </c>
      <c r="D44" s="6" t="s">
        <v>5663</v>
      </c>
      <c r="E44" s="6" t="s">
        <v>62</v>
      </c>
      <c r="F44" s="7" t="s">
        <v>5666</v>
      </c>
      <c r="G44" s="6" t="s">
        <v>5676</v>
      </c>
    </row>
    <row r="45" customFormat="false" ht="21.75" hidden="false" customHeight="true" outlineLevel="0" collapsed="false">
      <c r="B45" s="4" t="s">
        <v>5674</v>
      </c>
      <c r="C45" s="4" t="s">
        <v>5662</v>
      </c>
      <c r="D45" s="4" t="s">
        <v>5663</v>
      </c>
      <c r="E45" s="4" t="s">
        <v>62</v>
      </c>
      <c r="F45" s="5" t="s">
        <v>5668</v>
      </c>
      <c r="G45" s="4" t="s">
        <v>5677</v>
      </c>
    </row>
    <row r="46" customFormat="false" ht="21.75" hidden="false" customHeight="true" outlineLevel="0" collapsed="false">
      <c r="B46" s="6" t="s">
        <v>5678</v>
      </c>
      <c r="C46" s="6" t="s">
        <v>5662</v>
      </c>
      <c r="D46" s="6" t="s">
        <v>5663</v>
      </c>
      <c r="E46" s="6" t="s">
        <v>68</v>
      </c>
      <c r="F46" s="7" t="s">
        <v>5664</v>
      </c>
      <c r="G46" s="6" t="s">
        <v>5679</v>
      </c>
    </row>
    <row r="47" customFormat="false" ht="21.75" hidden="false" customHeight="true" outlineLevel="0" collapsed="false">
      <c r="B47" s="4" t="s">
        <v>5678</v>
      </c>
      <c r="C47" s="4" t="s">
        <v>5662</v>
      </c>
      <c r="D47" s="4" t="s">
        <v>5663</v>
      </c>
      <c r="E47" s="4" t="s">
        <v>68</v>
      </c>
      <c r="F47" s="5" t="s">
        <v>5666</v>
      </c>
      <c r="G47" s="4" t="s">
        <v>5680</v>
      </c>
    </row>
    <row r="48" customFormat="false" ht="21.75" hidden="false" customHeight="true" outlineLevel="0" collapsed="false">
      <c r="B48" s="6" t="s">
        <v>5678</v>
      </c>
      <c r="C48" s="6" t="s">
        <v>5662</v>
      </c>
      <c r="D48" s="6" t="s">
        <v>5663</v>
      </c>
      <c r="E48" s="6" t="s">
        <v>68</v>
      </c>
      <c r="F48" s="7" t="s">
        <v>5668</v>
      </c>
      <c r="G48" s="6" t="s">
        <v>5681</v>
      </c>
    </row>
    <row r="49" customFormat="false" ht="21.75" hidden="false" customHeight="true" outlineLevel="0" collapsed="false">
      <c r="B49" s="4" t="s">
        <v>5682</v>
      </c>
      <c r="C49" s="4" t="s">
        <v>5683</v>
      </c>
      <c r="D49" s="4" t="s">
        <v>5684</v>
      </c>
      <c r="E49" s="4" t="s">
        <v>74</v>
      </c>
      <c r="F49" s="5" t="s">
        <v>5666</v>
      </c>
      <c r="G49" s="4" t="s">
        <v>5685</v>
      </c>
    </row>
    <row r="50" customFormat="false" ht="21.75" hidden="false" customHeight="true" outlineLevel="0" collapsed="false">
      <c r="B50" s="6" t="s">
        <v>5682</v>
      </c>
      <c r="C50" s="6" t="s">
        <v>5683</v>
      </c>
      <c r="D50" s="6" t="s">
        <v>5684</v>
      </c>
      <c r="E50" s="6" t="s">
        <v>81</v>
      </c>
      <c r="F50" s="7" t="s">
        <v>5666</v>
      </c>
      <c r="G50" s="6" t="s">
        <v>5686</v>
      </c>
    </row>
    <row r="51" customFormat="false" ht="21.75" hidden="false" customHeight="true" outlineLevel="0" collapsed="false">
      <c r="B51" s="4" t="s">
        <v>5682</v>
      </c>
      <c r="C51" s="4" t="s">
        <v>5683</v>
      </c>
      <c r="D51" s="4" t="s">
        <v>5684</v>
      </c>
      <c r="E51" s="4" t="s">
        <v>81</v>
      </c>
      <c r="F51" s="5" t="s">
        <v>5668</v>
      </c>
      <c r="G51" s="4" t="s">
        <v>5687</v>
      </c>
    </row>
    <row r="52" customFormat="false" ht="21.75" hidden="false" customHeight="true" outlineLevel="0" collapsed="false">
      <c r="B52" s="6" t="s">
        <v>5682</v>
      </c>
      <c r="C52" s="6" t="s">
        <v>5683</v>
      </c>
      <c r="D52" s="6" t="s">
        <v>5684</v>
      </c>
      <c r="E52" s="6" t="s">
        <v>87</v>
      </c>
      <c r="F52" s="7" t="s">
        <v>5666</v>
      </c>
      <c r="G52" s="6" t="s">
        <v>5688</v>
      </c>
    </row>
    <row r="53" customFormat="false" ht="21.75" hidden="false" customHeight="true" outlineLevel="0" collapsed="false">
      <c r="B53" s="4" t="s">
        <v>5682</v>
      </c>
      <c r="C53" s="4" t="s">
        <v>5683</v>
      </c>
      <c r="D53" s="4" t="s">
        <v>5684</v>
      </c>
      <c r="E53" s="4" t="s">
        <v>87</v>
      </c>
      <c r="F53" s="5" t="s">
        <v>5668</v>
      </c>
      <c r="G53" s="4" t="s">
        <v>5689</v>
      </c>
    </row>
    <row r="54" customFormat="false" ht="21.75" hidden="false" customHeight="true" outlineLevel="0" collapsed="false">
      <c r="B54" s="6" t="s">
        <v>5682</v>
      </c>
      <c r="C54" s="6" t="s">
        <v>5683</v>
      </c>
      <c r="D54" s="6" t="s">
        <v>5684</v>
      </c>
      <c r="E54" s="6" t="s">
        <v>93</v>
      </c>
      <c r="F54" s="7" t="s">
        <v>5666</v>
      </c>
      <c r="G54" s="6" t="s">
        <v>5690</v>
      </c>
    </row>
    <row r="55" customFormat="false" ht="21.75" hidden="false" customHeight="true" outlineLevel="0" collapsed="false">
      <c r="B55" s="4" t="s">
        <v>5682</v>
      </c>
      <c r="C55" s="4" t="s">
        <v>5683</v>
      </c>
      <c r="D55" s="4" t="s">
        <v>5684</v>
      </c>
      <c r="E55" s="4" t="s">
        <v>74</v>
      </c>
      <c r="F55" s="5" t="s">
        <v>5664</v>
      </c>
      <c r="G55" s="4" t="s">
        <v>5691</v>
      </c>
    </row>
    <row r="56" customFormat="false" ht="21.75" hidden="false" customHeight="true" outlineLevel="0" collapsed="false">
      <c r="B56" s="6" t="s">
        <v>5682</v>
      </c>
      <c r="C56" s="6" t="s">
        <v>5683</v>
      </c>
      <c r="D56" s="6" t="s">
        <v>5684</v>
      </c>
      <c r="E56" s="6" t="s">
        <v>81</v>
      </c>
      <c r="F56" s="7" t="s">
        <v>5664</v>
      </c>
      <c r="G56" s="6" t="s">
        <v>5692</v>
      </c>
    </row>
    <row r="57" customFormat="false" ht="21.75" hidden="false" customHeight="true" outlineLevel="0" collapsed="false">
      <c r="B57" s="4" t="s">
        <v>5682</v>
      </c>
      <c r="C57" s="4" t="s">
        <v>5683</v>
      </c>
      <c r="D57" s="4" t="s">
        <v>5684</v>
      </c>
      <c r="E57" s="4" t="s">
        <v>87</v>
      </c>
      <c r="F57" s="5" t="s">
        <v>5664</v>
      </c>
      <c r="G57" s="4" t="s">
        <v>5693</v>
      </c>
    </row>
    <row r="58" customFormat="false" ht="21.75" hidden="false" customHeight="true" outlineLevel="0" collapsed="false">
      <c r="B58" s="6" t="s">
        <v>5682</v>
      </c>
      <c r="C58" s="6" t="s">
        <v>5683</v>
      </c>
      <c r="D58" s="6" t="s">
        <v>5684</v>
      </c>
      <c r="E58" s="6" t="s">
        <v>93</v>
      </c>
      <c r="F58" s="7" t="s">
        <v>5664</v>
      </c>
      <c r="G58" s="6" t="s">
        <v>5694</v>
      </c>
    </row>
    <row r="59" customFormat="false" ht="21.75" hidden="false" customHeight="true" outlineLevel="0" collapsed="false">
      <c r="B59" s="4" t="s">
        <v>5682</v>
      </c>
      <c r="C59" s="4" t="s">
        <v>5683</v>
      </c>
      <c r="D59" s="4" t="s">
        <v>5684</v>
      </c>
      <c r="E59" s="4" t="s">
        <v>5695</v>
      </c>
      <c r="F59" s="5" t="s">
        <v>5668</v>
      </c>
      <c r="G59" s="4" t="s">
        <v>5696</v>
      </c>
    </row>
    <row r="60" customFormat="false" ht="21.75" hidden="false" customHeight="true" outlineLevel="0" collapsed="false">
      <c r="B60" s="6" t="s">
        <v>5697</v>
      </c>
      <c r="C60" s="6" t="s">
        <v>5698</v>
      </c>
      <c r="D60" s="6" t="s">
        <v>5699</v>
      </c>
      <c r="E60" s="6" t="s">
        <v>99</v>
      </c>
      <c r="F60" s="7" t="s">
        <v>5666</v>
      </c>
      <c r="G60" s="6" t="s">
        <v>5700</v>
      </c>
    </row>
    <row r="61" customFormat="false" ht="21.75" hidden="false" customHeight="true" outlineLevel="0" collapsed="false">
      <c r="B61" s="4" t="s">
        <v>5701</v>
      </c>
      <c r="C61" s="4" t="s">
        <v>5698</v>
      </c>
      <c r="D61" s="4" t="s">
        <v>5699</v>
      </c>
      <c r="E61" s="4" t="s">
        <v>106</v>
      </c>
      <c r="F61" s="5" t="s">
        <v>5666</v>
      </c>
      <c r="G61" s="4" t="s">
        <v>5702</v>
      </c>
    </row>
    <row r="62" customFormat="false" ht="21.75" hidden="false" customHeight="true" outlineLevel="0" collapsed="false">
      <c r="B62" s="6" t="s">
        <v>5701</v>
      </c>
      <c r="C62" s="6" t="s">
        <v>5698</v>
      </c>
      <c r="D62" s="6" t="s">
        <v>5699</v>
      </c>
      <c r="E62" s="6" t="s">
        <v>112</v>
      </c>
      <c r="F62" s="7" t="s">
        <v>5666</v>
      </c>
      <c r="G62" s="6" t="s">
        <v>5703</v>
      </c>
    </row>
    <row r="63" customFormat="false" ht="21.75" hidden="false" customHeight="true" outlineLevel="0" collapsed="false">
      <c r="B63" s="4" t="s">
        <v>5701</v>
      </c>
      <c r="C63" s="4" t="s">
        <v>5698</v>
      </c>
      <c r="D63" s="4" t="s">
        <v>5699</v>
      </c>
      <c r="E63" s="4" t="s">
        <v>99</v>
      </c>
      <c r="F63" s="5" t="s">
        <v>5664</v>
      </c>
      <c r="G63" s="4" t="s">
        <v>5704</v>
      </c>
    </row>
    <row r="64" customFormat="false" ht="21.75" hidden="false" customHeight="true" outlineLevel="0" collapsed="false">
      <c r="B64" s="6" t="s">
        <v>5701</v>
      </c>
      <c r="C64" s="6" t="s">
        <v>5698</v>
      </c>
      <c r="D64" s="6" t="s">
        <v>5699</v>
      </c>
      <c r="E64" s="6" t="s">
        <v>106</v>
      </c>
      <c r="F64" s="7" t="s">
        <v>5664</v>
      </c>
      <c r="G64" s="6" t="s">
        <v>5705</v>
      </c>
    </row>
    <row r="65" customFormat="false" ht="21.75" hidden="false" customHeight="true" outlineLevel="0" collapsed="false">
      <c r="B65" s="4" t="s">
        <v>5701</v>
      </c>
      <c r="C65" s="4" t="s">
        <v>5698</v>
      </c>
      <c r="D65" s="4" t="s">
        <v>5699</v>
      </c>
      <c r="E65" s="4" t="s">
        <v>112</v>
      </c>
      <c r="F65" s="5" t="s">
        <v>5664</v>
      </c>
      <c r="G65" s="4" t="s">
        <v>5706</v>
      </c>
    </row>
    <row r="66" customFormat="false" ht="21.75" hidden="false" customHeight="true" outlineLevel="0" collapsed="false">
      <c r="B66" s="6" t="s">
        <v>5701</v>
      </c>
      <c r="C66" s="6" t="s">
        <v>5698</v>
      </c>
      <c r="D66" s="6" t="s">
        <v>5699</v>
      </c>
      <c r="E66" s="6" t="s">
        <v>112</v>
      </c>
      <c r="F66" s="7" t="s">
        <v>5668</v>
      </c>
      <c r="G66" s="6" t="s">
        <v>5707</v>
      </c>
    </row>
    <row r="67" customFormat="false" ht="21.75" hidden="false" customHeight="true" outlineLevel="0" collapsed="false">
      <c r="B67" s="4" t="s">
        <v>5701</v>
      </c>
      <c r="C67" s="4" t="s">
        <v>5698</v>
      </c>
      <c r="D67" s="4" t="s">
        <v>5699</v>
      </c>
      <c r="E67" s="4" t="s">
        <v>106</v>
      </c>
      <c r="F67" s="5" t="s">
        <v>5668</v>
      </c>
      <c r="G67" s="4" t="s">
        <v>5708</v>
      </c>
    </row>
    <row r="68" customFormat="false" ht="21.75" hidden="false" customHeight="true" outlineLevel="0" collapsed="false">
      <c r="B68" s="6" t="s">
        <v>5701</v>
      </c>
      <c r="C68" s="6" t="s">
        <v>5698</v>
      </c>
      <c r="D68" s="6" t="s">
        <v>5699</v>
      </c>
      <c r="E68" s="6" t="s">
        <v>112</v>
      </c>
      <c r="F68" s="7" t="s">
        <v>5668</v>
      </c>
      <c r="G68" s="6" t="s">
        <v>5709</v>
      </c>
    </row>
    <row r="69" customFormat="false" ht="21.75" hidden="false" customHeight="true" outlineLevel="0" collapsed="false">
      <c r="B69" s="4" t="s">
        <v>5701</v>
      </c>
      <c r="C69" s="4" t="s">
        <v>5698</v>
      </c>
      <c r="D69" s="4" t="s">
        <v>5699</v>
      </c>
      <c r="E69" s="4" t="s">
        <v>99</v>
      </c>
      <c r="F69" s="5" t="s">
        <v>5668</v>
      </c>
      <c r="G69" s="4" t="s">
        <v>5710</v>
      </c>
    </row>
    <row r="70" customFormat="false" ht="21.75" hidden="false" customHeight="true" outlineLevel="0" collapsed="false">
      <c r="B70" s="6" t="s">
        <v>5711</v>
      </c>
      <c r="C70" s="6" t="s">
        <v>5712</v>
      </c>
      <c r="D70" s="6" t="s">
        <v>5713</v>
      </c>
      <c r="E70" s="6" t="s">
        <v>131</v>
      </c>
      <c r="F70" s="7" t="s">
        <v>5666</v>
      </c>
      <c r="G70" s="6" t="s">
        <v>5714</v>
      </c>
    </row>
    <row r="71" customFormat="false" ht="21.75" hidden="false" customHeight="true" outlineLevel="0" collapsed="false">
      <c r="B71" s="4" t="s">
        <v>5715</v>
      </c>
      <c r="C71" s="4" t="s">
        <v>5712</v>
      </c>
      <c r="D71" s="4" t="s">
        <v>5713</v>
      </c>
      <c r="E71" s="4" t="s">
        <v>125</v>
      </c>
      <c r="F71" s="5" t="s">
        <v>5666</v>
      </c>
      <c r="G71" s="4" t="s">
        <v>5716</v>
      </c>
    </row>
    <row r="72" customFormat="false" ht="21.75" hidden="false" customHeight="true" outlineLevel="0" collapsed="false">
      <c r="B72" s="6" t="s">
        <v>5717</v>
      </c>
      <c r="C72" s="6" t="s">
        <v>5712</v>
      </c>
      <c r="D72" s="6" t="s">
        <v>5713</v>
      </c>
      <c r="E72" s="6" t="s">
        <v>118</v>
      </c>
      <c r="F72" s="7" t="s">
        <v>5668</v>
      </c>
      <c r="G72" s="6" t="s">
        <v>5718</v>
      </c>
    </row>
    <row r="73" customFormat="false" ht="21.75" hidden="false" customHeight="true" outlineLevel="0" collapsed="false">
      <c r="B73" s="4" t="s">
        <v>5719</v>
      </c>
      <c r="C73" s="4" t="s">
        <v>5712</v>
      </c>
      <c r="D73" s="4" t="s">
        <v>5713</v>
      </c>
      <c r="E73" s="4" t="s">
        <v>137</v>
      </c>
      <c r="F73" s="5" t="s">
        <v>5666</v>
      </c>
      <c r="G73" s="4" t="s">
        <v>5720</v>
      </c>
    </row>
    <row r="74" customFormat="false" ht="21.75" hidden="false" customHeight="true" outlineLevel="0" collapsed="false">
      <c r="B74" s="6" t="s">
        <v>5721</v>
      </c>
      <c r="C74" s="6" t="s">
        <v>5712</v>
      </c>
      <c r="D74" s="6" t="s">
        <v>5713</v>
      </c>
      <c r="E74" s="6" t="s">
        <v>137</v>
      </c>
      <c r="F74" s="7" t="s">
        <v>5668</v>
      </c>
      <c r="G74" s="6" t="s">
        <v>5722</v>
      </c>
    </row>
    <row r="75" customFormat="false" ht="21.75" hidden="false" customHeight="true" outlineLevel="0" collapsed="false">
      <c r="B75" s="4" t="s">
        <v>5723</v>
      </c>
      <c r="C75" s="4" t="s">
        <v>5712</v>
      </c>
      <c r="D75" s="4" t="s">
        <v>5713</v>
      </c>
      <c r="E75" s="4" t="s">
        <v>131</v>
      </c>
      <c r="F75" s="5" t="s">
        <v>5664</v>
      </c>
      <c r="G75" s="4" t="s">
        <v>5724</v>
      </c>
    </row>
    <row r="76" customFormat="false" ht="21.75" hidden="false" customHeight="true" outlineLevel="0" collapsed="false">
      <c r="B76" s="6" t="s">
        <v>5725</v>
      </c>
      <c r="C76" s="6" t="s">
        <v>5712</v>
      </c>
      <c r="D76" s="6" t="s">
        <v>5713</v>
      </c>
      <c r="E76" s="6" t="s">
        <v>125</v>
      </c>
      <c r="F76" s="7" t="s">
        <v>5664</v>
      </c>
      <c r="G76" s="6" t="s">
        <v>5726</v>
      </c>
    </row>
    <row r="77" customFormat="false" ht="21.75" hidden="false" customHeight="true" outlineLevel="0" collapsed="false">
      <c r="B77" s="4" t="s">
        <v>5727</v>
      </c>
      <c r="C77" s="4" t="s">
        <v>5712</v>
      </c>
      <c r="D77" s="4" t="s">
        <v>5713</v>
      </c>
      <c r="E77" s="4" t="s">
        <v>118</v>
      </c>
      <c r="F77" s="5" t="s">
        <v>5664</v>
      </c>
      <c r="G77" s="4" t="s">
        <v>5728</v>
      </c>
    </row>
    <row r="78" customFormat="false" ht="21.75" hidden="false" customHeight="true" outlineLevel="0" collapsed="false">
      <c r="B78" s="6" t="s">
        <v>5729</v>
      </c>
      <c r="C78" s="6" t="s">
        <v>5712</v>
      </c>
      <c r="D78" s="6" t="s">
        <v>5713</v>
      </c>
      <c r="E78" s="6" t="s">
        <v>137</v>
      </c>
      <c r="F78" s="7" t="s">
        <v>5664</v>
      </c>
      <c r="G78" s="6" t="s">
        <v>5730</v>
      </c>
    </row>
    <row r="79" customFormat="false" ht="21.75" hidden="false" customHeight="true" outlineLevel="0" collapsed="false">
      <c r="B79" s="4" t="s">
        <v>5731</v>
      </c>
      <c r="C79" s="4" t="s">
        <v>5732</v>
      </c>
      <c r="D79" s="4" t="s">
        <v>5733</v>
      </c>
      <c r="E79" s="4" t="s">
        <v>143</v>
      </c>
      <c r="F79" s="5" t="s">
        <v>5666</v>
      </c>
      <c r="G79" s="4" t="s">
        <v>5734</v>
      </c>
    </row>
    <row r="80" customFormat="false" ht="21.75" hidden="false" customHeight="true" outlineLevel="0" collapsed="false">
      <c r="B80" s="6" t="s">
        <v>5731</v>
      </c>
      <c r="C80" s="6" t="s">
        <v>5732</v>
      </c>
      <c r="D80" s="6" t="s">
        <v>5733</v>
      </c>
      <c r="E80" s="6" t="s">
        <v>150</v>
      </c>
      <c r="F80" s="7" t="s">
        <v>5666</v>
      </c>
      <c r="G80" s="6" t="s">
        <v>5735</v>
      </c>
    </row>
    <row r="81" customFormat="false" ht="21.75" hidden="false" customHeight="true" outlineLevel="0" collapsed="false">
      <c r="B81" s="4" t="s">
        <v>5731</v>
      </c>
      <c r="C81" s="4" t="s">
        <v>5732</v>
      </c>
      <c r="D81" s="4" t="s">
        <v>5733</v>
      </c>
      <c r="E81" s="4" t="s">
        <v>150</v>
      </c>
      <c r="F81" s="5" t="s">
        <v>5668</v>
      </c>
      <c r="G81" s="4" t="s">
        <v>5736</v>
      </c>
    </row>
    <row r="82" customFormat="false" ht="21.75" hidden="false" customHeight="true" outlineLevel="0" collapsed="false">
      <c r="B82" s="6" t="s">
        <v>5731</v>
      </c>
      <c r="C82" s="6" t="s">
        <v>5732</v>
      </c>
      <c r="D82" s="6" t="s">
        <v>5733</v>
      </c>
      <c r="E82" s="6" t="s">
        <v>156</v>
      </c>
      <c r="F82" s="7" t="s">
        <v>5666</v>
      </c>
      <c r="G82" s="6" t="s">
        <v>5737</v>
      </c>
    </row>
    <row r="83" customFormat="false" ht="21.75" hidden="false" customHeight="true" outlineLevel="0" collapsed="false">
      <c r="B83" s="4" t="s">
        <v>5731</v>
      </c>
      <c r="C83" s="4" t="s">
        <v>5732</v>
      </c>
      <c r="D83" s="4" t="s">
        <v>5733</v>
      </c>
      <c r="E83" s="4" t="s">
        <v>162</v>
      </c>
      <c r="F83" s="5" t="s">
        <v>5666</v>
      </c>
      <c r="G83" s="4" t="s">
        <v>5738</v>
      </c>
    </row>
    <row r="84" customFormat="false" ht="21.75" hidden="false" customHeight="true" outlineLevel="0" collapsed="false">
      <c r="B84" s="6" t="s">
        <v>5731</v>
      </c>
      <c r="C84" s="6" t="s">
        <v>5732</v>
      </c>
      <c r="D84" s="6" t="s">
        <v>5733</v>
      </c>
      <c r="E84" s="6" t="s">
        <v>162</v>
      </c>
      <c r="F84" s="7" t="s">
        <v>5668</v>
      </c>
      <c r="G84" s="6" t="s">
        <v>5739</v>
      </c>
    </row>
    <row r="85" customFormat="false" ht="21.75" hidden="false" customHeight="true" outlineLevel="0" collapsed="false">
      <c r="B85" s="4" t="s">
        <v>5731</v>
      </c>
      <c r="C85" s="4" t="s">
        <v>5732</v>
      </c>
      <c r="D85" s="4" t="s">
        <v>5733</v>
      </c>
      <c r="E85" s="4" t="s">
        <v>168</v>
      </c>
      <c r="F85" s="5" t="s">
        <v>5666</v>
      </c>
      <c r="G85" s="4" t="s">
        <v>5740</v>
      </c>
    </row>
    <row r="86" customFormat="false" ht="21.75" hidden="false" customHeight="true" outlineLevel="0" collapsed="false">
      <c r="B86" s="6" t="s">
        <v>5731</v>
      </c>
      <c r="C86" s="6" t="s">
        <v>5732</v>
      </c>
      <c r="D86" s="6" t="s">
        <v>5733</v>
      </c>
      <c r="E86" s="6" t="s">
        <v>168</v>
      </c>
      <c r="F86" s="7" t="s">
        <v>5668</v>
      </c>
      <c r="G86" s="6" t="s">
        <v>5741</v>
      </c>
    </row>
    <row r="87" customFormat="false" ht="21.75" hidden="false" customHeight="true" outlineLevel="0" collapsed="false">
      <c r="B87" s="4" t="s">
        <v>5731</v>
      </c>
      <c r="C87" s="4" t="s">
        <v>5732</v>
      </c>
      <c r="D87" s="4" t="s">
        <v>5733</v>
      </c>
      <c r="E87" s="4" t="s">
        <v>174</v>
      </c>
      <c r="F87" s="5" t="s">
        <v>5668</v>
      </c>
      <c r="G87" s="4" t="s">
        <v>5742</v>
      </c>
    </row>
    <row r="88" customFormat="false" ht="21.75" hidden="false" customHeight="true" outlineLevel="0" collapsed="false">
      <c r="B88" s="6" t="s">
        <v>5731</v>
      </c>
      <c r="C88" s="6" t="s">
        <v>5732</v>
      </c>
      <c r="D88" s="6" t="s">
        <v>5733</v>
      </c>
      <c r="E88" s="6" t="s">
        <v>143</v>
      </c>
      <c r="F88" s="7" t="s">
        <v>5664</v>
      </c>
      <c r="G88" s="6" t="s">
        <v>5743</v>
      </c>
    </row>
    <row r="89" customFormat="false" ht="21.75" hidden="false" customHeight="true" outlineLevel="0" collapsed="false">
      <c r="B89" s="4" t="s">
        <v>5731</v>
      </c>
      <c r="C89" s="4" t="s">
        <v>5732</v>
      </c>
      <c r="D89" s="4" t="s">
        <v>5733</v>
      </c>
      <c r="E89" s="4" t="s">
        <v>150</v>
      </c>
      <c r="F89" s="5" t="s">
        <v>5664</v>
      </c>
      <c r="G89" s="4" t="s">
        <v>5744</v>
      </c>
    </row>
    <row r="90" customFormat="false" ht="21.75" hidden="false" customHeight="true" outlineLevel="0" collapsed="false">
      <c r="B90" s="6" t="s">
        <v>5731</v>
      </c>
      <c r="C90" s="6" t="s">
        <v>5732</v>
      </c>
      <c r="D90" s="6" t="s">
        <v>5733</v>
      </c>
      <c r="E90" s="6" t="s">
        <v>156</v>
      </c>
      <c r="F90" s="7" t="s">
        <v>5664</v>
      </c>
      <c r="G90" s="6" t="s">
        <v>5745</v>
      </c>
    </row>
    <row r="91" customFormat="false" ht="21.75" hidden="false" customHeight="true" outlineLevel="0" collapsed="false">
      <c r="B91" s="4" t="s">
        <v>5731</v>
      </c>
      <c r="C91" s="4" t="s">
        <v>5732</v>
      </c>
      <c r="D91" s="4" t="s">
        <v>5733</v>
      </c>
      <c r="E91" s="4" t="s">
        <v>162</v>
      </c>
      <c r="F91" s="5" t="s">
        <v>5664</v>
      </c>
      <c r="G91" s="4" t="s">
        <v>5746</v>
      </c>
    </row>
    <row r="92" customFormat="false" ht="21.75" hidden="false" customHeight="true" outlineLevel="0" collapsed="false">
      <c r="B92" s="6" t="s">
        <v>5731</v>
      </c>
      <c r="C92" s="6" t="s">
        <v>5732</v>
      </c>
      <c r="D92" s="6" t="s">
        <v>5733</v>
      </c>
      <c r="E92" s="6" t="s">
        <v>168</v>
      </c>
      <c r="F92" s="7" t="s">
        <v>5664</v>
      </c>
      <c r="G92" s="6" t="s">
        <v>5747</v>
      </c>
    </row>
    <row r="93" customFormat="false" ht="21.75" hidden="false" customHeight="true" outlineLevel="0" collapsed="false">
      <c r="B93" s="4" t="s">
        <v>5731</v>
      </c>
      <c r="C93" s="4" t="s">
        <v>5732</v>
      </c>
      <c r="D93" s="4" t="s">
        <v>5733</v>
      </c>
      <c r="E93" s="4" t="s">
        <v>174</v>
      </c>
      <c r="F93" s="5" t="s">
        <v>5664</v>
      </c>
      <c r="G93" s="4" t="s">
        <v>5748</v>
      </c>
    </row>
    <row r="94" customFormat="false" ht="21.75" hidden="false" customHeight="true" outlineLevel="0" collapsed="false">
      <c r="B94" s="6" t="s">
        <v>5749</v>
      </c>
      <c r="C94" s="6" t="s">
        <v>5750</v>
      </c>
      <c r="D94" s="6" t="s">
        <v>5751</v>
      </c>
      <c r="E94" s="6" t="s">
        <v>5752</v>
      </c>
      <c r="F94" s="7" t="s">
        <v>5753</v>
      </c>
      <c r="G94" s="6" t="s">
        <v>5754</v>
      </c>
    </row>
    <row r="95" customFormat="false" ht="21.75" hidden="false" customHeight="true" outlineLevel="0" collapsed="false">
      <c r="B95" s="4" t="s">
        <v>5749</v>
      </c>
      <c r="C95" s="4" t="s">
        <v>5750</v>
      </c>
      <c r="D95" s="4" t="s">
        <v>5751</v>
      </c>
      <c r="E95" s="4" t="s">
        <v>179</v>
      </c>
      <c r="F95" s="5" t="s">
        <v>5664</v>
      </c>
      <c r="G95" s="4" t="s">
        <v>5755</v>
      </c>
    </row>
    <row r="96" customFormat="false" ht="21.75" hidden="false" customHeight="true" outlineLevel="0" collapsed="false">
      <c r="B96" s="6" t="s">
        <v>5749</v>
      </c>
      <c r="C96" s="6" t="s">
        <v>5750</v>
      </c>
      <c r="D96" s="6" t="s">
        <v>5751</v>
      </c>
      <c r="E96" s="6" t="s">
        <v>179</v>
      </c>
      <c r="F96" s="7" t="s">
        <v>5756</v>
      </c>
      <c r="G96" s="6" t="s">
        <v>5757</v>
      </c>
    </row>
    <row r="97" customFormat="false" ht="21.75" hidden="false" customHeight="true" outlineLevel="0" collapsed="false">
      <c r="B97" s="4" t="s">
        <v>5749</v>
      </c>
      <c r="C97" s="4" t="s">
        <v>5750</v>
      </c>
      <c r="D97" s="4" t="s">
        <v>5751</v>
      </c>
      <c r="E97" s="4" t="s">
        <v>209</v>
      </c>
      <c r="F97" s="5" t="s">
        <v>5664</v>
      </c>
      <c r="G97" s="4" t="s">
        <v>5758</v>
      </c>
    </row>
    <row r="98" customFormat="false" ht="21.75" hidden="false" customHeight="true" outlineLevel="0" collapsed="false">
      <c r="B98" s="6" t="s">
        <v>5749</v>
      </c>
      <c r="C98" s="6" t="s">
        <v>5750</v>
      </c>
      <c r="D98" s="6" t="s">
        <v>5751</v>
      </c>
      <c r="E98" s="6" t="s">
        <v>209</v>
      </c>
      <c r="F98" s="7" t="s">
        <v>5756</v>
      </c>
      <c r="G98" s="6" t="s">
        <v>5759</v>
      </c>
    </row>
    <row r="99" customFormat="false" ht="21.75" hidden="false" customHeight="true" outlineLevel="0" collapsed="false">
      <c r="B99" s="4" t="s">
        <v>5749</v>
      </c>
      <c r="C99" s="4" t="s">
        <v>5750</v>
      </c>
      <c r="D99" s="4" t="s">
        <v>5751</v>
      </c>
      <c r="E99" s="4" t="s">
        <v>199</v>
      </c>
      <c r="F99" s="5" t="s">
        <v>5664</v>
      </c>
      <c r="G99" s="4" t="s">
        <v>5760</v>
      </c>
    </row>
    <row r="100" customFormat="false" ht="21.75" hidden="false" customHeight="true" outlineLevel="0" collapsed="false">
      <c r="B100" s="6" t="s">
        <v>5749</v>
      </c>
      <c r="C100" s="6" t="s">
        <v>5750</v>
      </c>
      <c r="D100" s="6" t="s">
        <v>5751</v>
      </c>
      <c r="E100" s="6" t="s">
        <v>199</v>
      </c>
      <c r="F100" s="7" t="s">
        <v>5756</v>
      </c>
      <c r="G100" s="6" t="s">
        <v>5761</v>
      </c>
    </row>
    <row r="101" customFormat="false" ht="21.75" hidden="false" customHeight="true" outlineLevel="0" collapsed="false">
      <c r="B101" s="4" t="s">
        <v>5749</v>
      </c>
      <c r="C101" s="4" t="s">
        <v>5750</v>
      </c>
      <c r="D101" s="4" t="s">
        <v>5751</v>
      </c>
      <c r="E101" s="4" t="s">
        <v>204</v>
      </c>
      <c r="F101" s="5" t="s">
        <v>5664</v>
      </c>
      <c r="G101" s="4" t="s">
        <v>5762</v>
      </c>
    </row>
    <row r="102" customFormat="false" ht="21.75" hidden="false" customHeight="true" outlineLevel="0" collapsed="false">
      <c r="B102" s="6" t="s">
        <v>5749</v>
      </c>
      <c r="C102" s="6" t="s">
        <v>5750</v>
      </c>
      <c r="D102" s="6" t="s">
        <v>5751</v>
      </c>
      <c r="E102" s="6" t="s">
        <v>204</v>
      </c>
      <c r="F102" s="7" t="s">
        <v>5756</v>
      </c>
      <c r="G102" s="6" t="s">
        <v>5763</v>
      </c>
    </row>
    <row r="103" customFormat="false" ht="21.75" hidden="false" customHeight="true" outlineLevel="0" collapsed="false">
      <c r="B103" s="4" t="s">
        <v>5749</v>
      </c>
      <c r="C103" s="4" t="s">
        <v>5750</v>
      </c>
      <c r="D103" s="4" t="s">
        <v>5751</v>
      </c>
      <c r="E103" s="4" t="s">
        <v>190</v>
      </c>
      <c r="F103" s="5" t="s">
        <v>5664</v>
      </c>
      <c r="G103" s="4" t="s">
        <v>5764</v>
      </c>
    </row>
    <row r="104" customFormat="false" ht="21.75" hidden="false" customHeight="true" outlineLevel="0" collapsed="false">
      <c r="B104" s="6" t="s">
        <v>5749</v>
      </c>
      <c r="C104" s="6" t="s">
        <v>5750</v>
      </c>
      <c r="D104" s="6" t="s">
        <v>5751</v>
      </c>
      <c r="E104" s="6" t="s">
        <v>190</v>
      </c>
      <c r="F104" s="7" t="s">
        <v>5756</v>
      </c>
      <c r="G104" s="6" t="s">
        <v>5765</v>
      </c>
    </row>
    <row r="105" customFormat="false" ht="21.75" hidden="false" customHeight="true" outlineLevel="0" collapsed="false">
      <c r="B105" s="4" t="s">
        <v>5749</v>
      </c>
      <c r="C105" s="4" t="s">
        <v>5750</v>
      </c>
      <c r="D105" s="4" t="s">
        <v>5751</v>
      </c>
      <c r="E105" s="4" t="s">
        <v>195</v>
      </c>
      <c r="F105" s="5" t="s">
        <v>5664</v>
      </c>
      <c r="G105" s="4" t="s">
        <v>5766</v>
      </c>
    </row>
    <row r="106" customFormat="false" ht="21.75" hidden="false" customHeight="true" outlineLevel="0" collapsed="false">
      <c r="B106" s="6" t="s">
        <v>5749</v>
      </c>
      <c r="C106" s="6" t="s">
        <v>5750</v>
      </c>
      <c r="D106" s="6" t="s">
        <v>5751</v>
      </c>
      <c r="E106" s="6" t="s">
        <v>195</v>
      </c>
      <c r="F106" s="7" t="s">
        <v>5756</v>
      </c>
      <c r="G106" s="6" t="s">
        <v>5767</v>
      </c>
    </row>
    <row r="107" customFormat="false" ht="21.75" hidden="false" customHeight="true" outlineLevel="0" collapsed="false">
      <c r="B107" s="4" t="s">
        <v>5749</v>
      </c>
      <c r="C107" s="4" t="s">
        <v>5750</v>
      </c>
      <c r="D107" s="4" t="s">
        <v>5751</v>
      </c>
      <c r="E107" s="4" t="s">
        <v>185</v>
      </c>
      <c r="F107" s="5" t="s">
        <v>5664</v>
      </c>
      <c r="G107" s="4" t="s">
        <v>5768</v>
      </c>
    </row>
    <row r="108" customFormat="false" ht="21.75" hidden="false" customHeight="true" outlineLevel="0" collapsed="false">
      <c r="B108" s="6" t="s">
        <v>5749</v>
      </c>
      <c r="C108" s="6" t="s">
        <v>5750</v>
      </c>
      <c r="D108" s="6" t="s">
        <v>5751</v>
      </c>
      <c r="E108" s="6" t="s">
        <v>185</v>
      </c>
      <c r="F108" s="7" t="s">
        <v>5756</v>
      </c>
      <c r="G108" s="6" t="s">
        <v>5769</v>
      </c>
    </row>
    <row r="109" customFormat="false" ht="21.75" hidden="false" customHeight="true" outlineLevel="0" collapsed="false">
      <c r="B109" s="4" t="s">
        <v>5749</v>
      </c>
      <c r="C109" s="4" t="s">
        <v>5750</v>
      </c>
      <c r="D109" s="4" t="s">
        <v>5751</v>
      </c>
      <c r="E109" s="4" t="s">
        <v>213</v>
      </c>
      <c r="F109" s="5" t="s">
        <v>5664</v>
      </c>
      <c r="G109" s="4" t="s">
        <v>5770</v>
      </c>
    </row>
    <row r="110" customFormat="false" ht="21.75" hidden="false" customHeight="true" outlineLevel="0" collapsed="false">
      <c r="B110" s="6" t="s">
        <v>5749</v>
      </c>
      <c r="C110" s="6" t="s">
        <v>5750</v>
      </c>
      <c r="D110" s="6" t="s">
        <v>5751</v>
      </c>
      <c r="E110" s="6" t="s">
        <v>213</v>
      </c>
      <c r="F110" s="7" t="s">
        <v>5756</v>
      </c>
      <c r="G110" s="6" t="s">
        <v>5771</v>
      </c>
    </row>
  </sheetData>
  <mergeCells count="1">
    <mergeCell ref="B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3" min="3" style="1" width="74"/>
    <col collapsed="false" customWidth="true" hidden="false" outlineLevel="0" max="13" min="4" style="1" width="16"/>
  </cols>
  <sheetData>
    <row r="2" customFormat="false" ht="31.5" hidden="false" customHeight="true" outlineLevel="0" collapsed="false">
      <c r="B2" s="2" t="s">
        <v>5772</v>
      </c>
      <c r="C2" s="2"/>
      <c r="D2" s="2"/>
      <c r="E2" s="2"/>
      <c r="F2" s="2"/>
      <c r="G2" s="2"/>
      <c r="H2" s="2"/>
      <c r="I2" s="2"/>
    </row>
    <row r="3" customFormat="false" ht="7.5" hidden="false" customHeight="true" outlineLevel="0" collapsed="false"/>
    <row r="4" customFormat="false" ht="27.75" hidden="false" customHeight="true" outlineLevel="0" collapsed="false">
      <c r="B4" s="3" t="s">
        <v>5773</v>
      </c>
      <c r="C4" s="3" t="s">
        <v>5774</v>
      </c>
      <c r="E4" s="3" t="s">
        <v>33</v>
      </c>
      <c r="F4" s="3" t="s">
        <v>34</v>
      </c>
      <c r="G4" s="3" t="s">
        <v>4239</v>
      </c>
      <c r="H4" s="3" t="s">
        <v>5775</v>
      </c>
      <c r="I4" s="3" t="s">
        <v>5776</v>
      </c>
      <c r="J4" s="3" t="s">
        <v>5777</v>
      </c>
      <c r="K4" s="3" t="s">
        <v>5778</v>
      </c>
      <c r="L4" s="3" t="s">
        <v>49</v>
      </c>
      <c r="M4" s="3" t="s">
        <v>5779</v>
      </c>
    </row>
    <row r="5" customFormat="false" ht="21.75" hidden="false" customHeight="true" outlineLevel="0" collapsed="false">
      <c r="B5" s="4" t="s">
        <v>5780</v>
      </c>
      <c r="C5" s="4" t="s">
        <v>5781</v>
      </c>
      <c r="E5" s="4" t="s">
        <v>87</v>
      </c>
      <c r="F5" s="4" t="s">
        <v>75</v>
      </c>
      <c r="G5" s="11" t="n">
        <v>24</v>
      </c>
      <c r="H5" s="11" t="n">
        <v>0</v>
      </c>
      <c r="I5" s="11" t="n">
        <v>2</v>
      </c>
      <c r="J5" s="4" t="s">
        <v>5782</v>
      </c>
      <c r="K5" s="4" t="n">
        <v>24</v>
      </c>
      <c r="L5" s="12" t="n">
        <v>0.631</v>
      </c>
      <c r="M5" s="4" t="s">
        <v>90</v>
      </c>
    </row>
    <row r="6" customFormat="false" ht="21.75" hidden="false" customHeight="true" outlineLevel="0" collapsed="false">
      <c r="B6" s="6" t="s">
        <v>5783</v>
      </c>
      <c r="C6" s="6" t="s">
        <v>5784</v>
      </c>
      <c r="E6" s="6" t="s">
        <v>93</v>
      </c>
      <c r="F6" s="6" t="s">
        <v>75</v>
      </c>
      <c r="G6" s="13" t="n">
        <v>15</v>
      </c>
      <c r="H6" s="13" t="n">
        <v>0</v>
      </c>
      <c r="I6" s="13" t="n">
        <v>1</v>
      </c>
      <c r="J6" s="6" t="s">
        <v>5785</v>
      </c>
      <c r="K6" s="6" t="n">
        <v>16</v>
      </c>
      <c r="L6" s="14" t="n">
        <v>0.6883</v>
      </c>
      <c r="M6" s="6" t="s">
        <v>96</v>
      </c>
    </row>
    <row r="7" customFormat="false" ht="21.75" hidden="false" customHeight="true" outlineLevel="0" collapsed="false">
      <c r="B7" s="4" t="s">
        <v>5786</v>
      </c>
      <c r="C7" s="4" t="s">
        <v>5787</v>
      </c>
      <c r="E7" s="4" t="s">
        <v>74</v>
      </c>
      <c r="F7" s="4" t="s">
        <v>75</v>
      </c>
      <c r="G7" s="11" t="n">
        <v>26</v>
      </c>
      <c r="H7" s="11" t="n">
        <v>0</v>
      </c>
      <c r="I7" s="11" t="n">
        <v>0</v>
      </c>
      <c r="J7" s="4" t="s">
        <v>5782</v>
      </c>
      <c r="K7" s="4" t="n">
        <v>26</v>
      </c>
      <c r="L7" s="12" t="n">
        <v>0.7996</v>
      </c>
      <c r="M7" s="4" t="s">
        <v>78</v>
      </c>
    </row>
    <row r="8" customFormat="false" ht="21.75" hidden="false" customHeight="true" outlineLevel="0" collapsed="false">
      <c r="B8" s="6" t="s">
        <v>5788</v>
      </c>
      <c r="C8" s="6" t="s">
        <v>5789</v>
      </c>
      <c r="E8" s="6" t="s">
        <v>81</v>
      </c>
      <c r="F8" s="6" t="s">
        <v>75</v>
      </c>
      <c r="G8" s="13" t="n">
        <v>24</v>
      </c>
      <c r="H8" s="13" t="n">
        <v>0</v>
      </c>
      <c r="I8" s="13" t="n">
        <v>0</v>
      </c>
      <c r="J8" s="6" t="s">
        <v>5782</v>
      </c>
      <c r="K8" s="6" t="n">
        <v>24</v>
      </c>
      <c r="L8" s="14" t="n">
        <v>0.8523</v>
      </c>
      <c r="M8" s="6" t="s">
        <v>84</v>
      </c>
    </row>
    <row r="9" customFormat="false" ht="21.75" hidden="false" customHeight="true" outlineLevel="0" collapsed="false">
      <c r="B9" s="4" t="s">
        <v>5790</v>
      </c>
      <c r="C9" s="4" t="s">
        <v>5791</v>
      </c>
      <c r="E9" s="4" t="s">
        <v>162</v>
      </c>
      <c r="F9" s="4" t="s">
        <v>144</v>
      </c>
      <c r="G9" s="11" t="n">
        <v>9</v>
      </c>
      <c r="H9" s="11" t="n">
        <v>0</v>
      </c>
      <c r="I9" s="11" t="n">
        <v>3</v>
      </c>
      <c r="J9" s="4" t="s">
        <v>5782</v>
      </c>
      <c r="K9" s="4" t="n">
        <v>12</v>
      </c>
      <c r="L9" s="12" t="n">
        <v>0.8006</v>
      </c>
      <c r="M9" s="4" t="s">
        <v>165</v>
      </c>
    </row>
    <row r="10" customFormat="false" ht="21.75" hidden="false" customHeight="true" outlineLevel="0" collapsed="false">
      <c r="B10" s="6" t="s">
        <v>5792</v>
      </c>
      <c r="C10" s="6" t="s">
        <v>5793</v>
      </c>
      <c r="E10" s="6" t="s">
        <v>168</v>
      </c>
      <c r="F10" s="6" t="s">
        <v>144</v>
      </c>
      <c r="G10" s="13" t="n">
        <v>10</v>
      </c>
      <c r="H10" s="13" t="n">
        <v>0</v>
      </c>
      <c r="I10" s="13" t="n">
        <v>3</v>
      </c>
      <c r="J10" s="6" t="s">
        <v>5782</v>
      </c>
      <c r="K10" s="6" t="n">
        <v>13</v>
      </c>
      <c r="L10" s="14" t="n">
        <v>0.766</v>
      </c>
      <c r="M10" s="6" t="s">
        <v>171</v>
      </c>
    </row>
    <row r="11" customFormat="false" ht="21.75" hidden="false" customHeight="true" outlineLevel="0" collapsed="false">
      <c r="B11" s="4" t="s">
        <v>5794</v>
      </c>
      <c r="C11" s="4" t="s">
        <v>5795</v>
      </c>
      <c r="E11" s="4" t="s">
        <v>174</v>
      </c>
      <c r="F11" s="4" t="s">
        <v>144</v>
      </c>
      <c r="G11" s="11" t="n">
        <v>6</v>
      </c>
      <c r="H11" s="11" t="n">
        <v>0</v>
      </c>
      <c r="I11" s="11" t="n">
        <v>4</v>
      </c>
      <c r="J11" s="4" t="s">
        <v>5782</v>
      </c>
      <c r="K11" s="4" t="n">
        <v>10</v>
      </c>
      <c r="L11" s="12" t="n">
        <v>0.7344</v>
      </c>
      <c r="M11" s="4" t="s">
        <v>176</v>
      </c>
    </row>
    <row r="12" customFormat="false" ht="21.75" hidden="false" customHeight="true" outlineLevel="0" collapsed="false">
      <c r="B12" s="6" t="s">
        <v>4894</v>
      </c>
      <c r="C12" s="6" t="s">
        <v>5796</v>
      </c>
      <c r="E12" s="6" t="s">
        <v>150</v>
      </c>
      <c r="F12" s="6" t="s">
        <v>144</v>
      </c>
      <c r="G12" s="13" t="n">
        <v>15</v>
      </c>
      <c r="H12" s="13" t="n">
        <v>0</v>
      </c>
      <c r="I12" s="13" t="n">
        <v>0</v>
      </c>
      <c r="J12" s="6" t="s">
        <v>5782</v>
      </c>
      <c r="K12" s="6" t="n">
        <v>15</v>
      </c>
      <c r="L12" s="14" t="n">
        <v>0.7387</v>
      </c>
      <c r="M12" s="6" t="s">
        <v>153</v>
      </c>
    </row>
    <row r="13" customFormat="false" ht="21.75" hidden="false" customHeight="true" outlineLevel="0" collapsed="false">
      <c r="E13" s="4" t="s">
        <v>143</v>
      </c>
      <c r="F13" s="4" t="s">
        <v>144</v>
      </c>
      <c r="G13" s="11" t="n">
        <v>13</v>
      </c>
      <c r="H13" s="11" t="n">
        <v>0</v>
      </c>
      <c r="I13" s="11" t="n">
        <v>1</v>
      </c>
      <c r="J13" s="4" t="s">
        <v>5782</v>
      </c>
      <c r="K13" s="4" t="n">
        <v>14</v>
      </c>
      <c r="L13" s="12" t="n">
        <v>0.717</v>
      </c>
      <c r="M13" s="4" t="s">
        <v>147</v>
      </c>
    </row>
    <row r="14" customFormat="false" ht="21.75" hidden="false" customHeight="true" outlineLevel="0" collapsed="false">
      <c r="E14" s="6" t="s">
        <v>156</v>
      </c>
      <c r="F14" s="6" t="s">
        <v>144</v>
      </c>
      <c r="G14" s="13" t="n">
        <v>12</v>
      </c>
      <c r="H14" s="13" t="n">
        <v>0</v>
      </c>
      <c r="I14" s="13" t="n">
        <v>2</v>
      </c>
      <c r="J14" s="6" t="s">
        <v>5797</v>
      </c>
      <c r="K14" s="6" t="n">
        <v>14</v>
      </c>
      <c r="L14" s="14" t="n">
        <v>0.661</v>
      </c>
      <c r="M14" s="6" t="s">
        <v>159</v>
      </c>
    </row>
    <row r="15" customFormat="false" ht="21.75" hidden="false" customHeight="true" outlineLevel="0" collapsed="false">
      <c r="B15" s="8" t="s">
        <v>5798</v>
      </c>
      <c r="E15" s="4" t="s">
        <v>190</v>
      </c>
      <c r="F15" s="4" t="s">
        <v>180</v>
      </c>
      <c r="G15" s="11" t="n">
        <v>9</v>
      </c>
      <c r="H15" s="11" t="n">
        <v>0</v>
      </c>
      <c r="I15" s="11" t="n">
        <v>7</v>
      </c>
      <c r="J15" s="4" t="s">
        <v>5782</v>
      </c>
      <c r="K15" s="4" t="n">
        <v>16</v>
      </c>
      <c r="L15" s="12" t="n">
        <v>0.5179</v>
      </c>
      <c r="M15" s="4" t="s">
        <v>182</v>
      </c>
    </row>
    <row r="16" customFormat="false" ht="21.75" hidden="false" customHeight="true" outlineLevel="0" collapsed="false">
      <c r="B16" s="3" t="s">
        <v>225</v>
      </c>
      <c r="C16" s="3" t="s">
        <v>5799</v>
      </c>
      <c r="E16" s="6" t="s">
        <v>195</v>
      </c>
      <c r="F16" s="6" t="s">
        <v>180</v>
      </c>
      <c r="G16" s="13" t="n">
        <v>5</v>
      </c>
      <c r="H16" s="13" t="n">
        <v>0</v>
      </c>
      <c r="I16" s="13" t="n">
        <v>11</v>
      </c>
      <c r="J16" s="6" t="s">
        <v>5782</v>
      </c>
      <c r="K16" s="6" t="n">
        <v>16</v>
      </c>
      <c r="L16" s="14" t="n">
        <v>0.4297</v>
      </c>
      <c r="M16" s="6" t="s">
        <v>182</v>
      </c>
    </row>
    <row r="17" customFormat="false" ht="21.75" hidden="false" customHeight="true" outlineLevel="0" collapsed="false">
      <c r="B17" s="4" t="s">
        <v>244</v>
      </c>
      <c r="C17" s="11" t="n">
        <v>100</v>
      </c>
      <c r="E17" s="4" t="s">
        <v>213</v>
      </c>
      <c r="F17" s="4" t="s">
        <v>180</v>
      </c>
      <c r="G17" s="11" t="n">
        <v>5</v>
      </c>
      <c r="H17" s="11" t="n">
        <v>0</v>
      </c>
      <c r="I17" s="11" t="n">
        <v>12</v>
      </c>
      <c r="J17" s="4" t="s">
        <v>5782</v>
      </c>
      <c r="K17" s="4" t="n">
        <v>17</v>
      </c>
      <c r="L17" s="12" t="n">
        <v>0.3726</v>
      </c>
      <c r="M17" s="4" t="s">
        <v>182</v>
      </c>
    </row>
    <row r="18" customFormat="false" ht="21.75" hidden="false" customHeight="true" outlineLevel="0" collapsed="false">
      <c r="B18" s="6" t="s">
        <v>234</v>
      </c>
      <c r="C18" s="13" t="n">
        <v>87</v>
      </c>
      <c r="E18" s="6" t="s">
        <v>199</v>
      </c>
      <c r="F18" s="6" t="s">
        <v>180</v>
      </c>
      <c r="G18" s="13" t="n">
        <v>6</v>
      </c>
      <c r="H18" s="13" t="n">
        <v>0</v>
      </c>
      <c r="I18" s="13" t="n">
        <v>6</v>
      </c>
      <c r="J18" s="6" t="s">
        <v>5782</v>
      </c>
      <c r="K18" s="6" t="n">
        <v>12</v>
      </c>
      <c r="L18" s="14" t="n">
        <v>0.315</v>
      </c>
      <c r="M18" s="6" t="s">
        <v>182</v>
      </c>
    </row>
    <row r="19" customFormat="false" ht="21.75" hidden="false" customHeight="true" outlineLevel="0" collapsed="false">
      <c r="B19" s="4" t="s">
        <v>389</v>
      </c>
      <c r="C19" s="11" t="n">
        <v>67</v>
      </c>
      <c r="E19" s="4" t="s">
        <v>204</v>
      </c>
      <c r="F19" s="4" t="s">
        <v>180</v>
      </c>
      <c r="G19" s="11" t="n">
        <v>3</v>
      </c>
      <c r="H19" s="11" t="n">
        <v>0</v>
      </c>
      <c r="I19" s="11" t="n">
        <v>11</v>
      </c>
      <c r="J19" s="4" t="s">
        <v>5782</v>
      </c>
      <c r="K19" s="4" t="n">
        <v>14</v>
      </c>
      <c r="L19" s="12" t="n">
        <v>0.2474</v>
      </c>
      <c r="M19" s="4" t="s">
        <v>182</v>
      </c>
    </row>
    <row r="20" customFormat="false" ht="21.75" hidden="false" customHeight="true" outlineLevel="0" collapsed="false">
      <c r="B20" s="6" t="s">
        <v>335</v>
      </c>
      <c r="C20" s="13" t="n">
        <v>52</v>
      </c>
      <c r="E20" s="6" t="s">
        <v>185</v>
      </c>
      <c r="F20" s="6" t="s">
        <v>180</v>
      </c>
      <c r="G20" s="13" t="n">
        <v>9</v>
      </c>
      <c r="H20" s="13" t="n">
        <v>0</v>
      </c>
      <c r="I20" s="13" t="n">
        <v>15</v>
      </c>
      <c r="J20" s="6" t="s">
        <v>5800</v>
      </c>
      <c r="K20" s="6" t="n">
        <v>24</v>
      </c>
      <c r="L20" s="14" t="n">
        <v>0.1609</v>
      </c>
      <c r="M20" s="6" t="s">
        <v>182</v>
      </c>
    </row>
    <row r="21" customFormat="false" ht="21.75" hidden="false" customHeight="true" outlineLevel="0" collapsed="false">
      <c r="B21" s="4" t="s">
        <v>260</v>
      </c>
      <c r="C21" s="11" t="n">
        <v>50</v>
      </c>
      <c r="E21" s="4" t="s">
        <v>209</v>
      </c>
      <c r="F21" s="4" t="s">
        <v>180</v>
      </c>
      <c r="G21" s="11" t="n">
        <v>8</v>
      </c>
      <c r="H21" s="11" t="n">
        <v>0</v>
      </c>
      <c r="I21" s="11" t="n">
        <v>8</v>
      </c>
      <c r="J21" s="4" t="s">
        <v>5782</v>
      </c>
      <c r="K21" s="4" t="n">
        <v>16</v>
      </c>
      <c r="L21" s="12" t="n">
        <v>0.0698</v>
      </c>
      <c r="M21" s="4" t="s">
        <v>182</v>
      </c>
    </row>
    <row r="22" customFormat="false" ht="21.75" hidden="false" customHeight="true" outlineLevel="0" collapsed="false">
      <c r="B22" s="6" t="s">
        <v>291</v>
      </c>
      <c r="C22" s="13" t="n">
        <v>25</v>
      </c>
      <c r="E22" s="6" t="s">
        <v>179</v>
      </c>
      <c r="F22" s="6" t="s">
        <v>180</v>
      </c>
      <c r="G22" s="13" t="n">
        <v>10</v>
      </c>
      <c r="H22" s="13" t="n">
        <v>0</v>
      </c>
      <c r="I22" s="13" t="n">
        <v>9</v>
      </c>
      <c r="J22" s="6" t="s">
        <v>5782</v>
      </c>
      <c r="K22" s="6" t="n">
        <v>19</v>
      </c>
      <c r="L22" s="14" t="n">
        <v>0.067</v>
      </c>
      <c r="M22" s="6" t="s">
        <v>182</v>
      </c>
    </row>
    <row r="23" customFormat="false" ht="21.75" hidden="false" customHeight="true" outlineLevel="0" collapsed="false">
      <c r="B23" s="4" t="s">
        <v>469</v>
      </c>
      <c r="C23" s="11" t="n">
        <v>20</v>
      </c>
      <c r="E23" s="4" t="s">
        <v>125</v>
      </c>
      <c r="F23" s="4" t="s">
        <v>119</v>
      </c>
      <c r="G23" s="11" t="n">
        <v>25</v>
      </c>
      <c r="H23" s="11" t="n">
        <v>0</v>
      </c>
      <c r="I23" s="11" t="n">
        <v>0</v>
      </c>
      <c r="J23" s="4" t="s">
        <v>5782</v>
      </c>
      <c r="K23" s="4" t="n">
        <v>23</v>
      </c>
      <c r="L23" s="12" t="n">
        <v>0.086</v>
      </c>
      <c r="M23" s="4" t="s">
        <v>128</v>
      </c>
    </row>
    <row r="24" customFormat="false" ht="21.75" hidden="false" customHeight="true" outlineLevel="0" collapsed="false">
      <c r="E24" s="6" t="s">
        <v>131</v>
      </c>
      <c r="F24" s="6" t="s">
        <v>119</v>
      </c>
      <c r="G24" s="13" t="n">
        <v>16</v>
      </c>
      <c r="H24" s="13" t="n">
        <v>0</v>
      </c>
      <c r="I24" s="13" t="n">
        <v>0</v>
      </c>
      <c r="J24" s="6" t="s">
        <v>5782</v>
      </c>
      <c r="K24" s="6" t="n">
        <v>11</v>
      </c>
      <c r="L24" s="14" t="n">
        <v>0.0949</v>
      </c>
      <c r="M24" s="6" t="s">
        <v>134</v>
      </c>
    </row>
    <row r="25" customFormat="false" ht="21.75" hidden="false" customHeight="true" outlineLevel="0" collapsed="false">
      <c r="E25" s="4" t="s">
        <v>118</v>
      </c>
      <c r="F25" s="4" t="s">
        <v>119</v>
      </c>
      <c r="G25" s="11" t="n">
        <v>19</v>
      </c>
      <c r="H25" s="11" t="n">
        <v>0</v>
      </c>
      <c r="I25" s="11" t="n">
        <v>1</v>
      </c>
      <c r="J25" s="4" t="s">
        <v>5782</v>
      </c>
      <c r="K25" s="4" t="n">
        <v>14</v>
      </c>
      <c r="L25" s="12" t="n">
        <v>0.1025</v>
      </c>
      <c r="M25" s="4" t="s">
        <v>122</v>
      </c>
    </row>
    <row r="26" customFormat="false" ht="21.75" hidden="false" customHeight="true" outlineLevel="0" collapsed="false">
      <c r="B26" s="8" t="s">
        <v>5801</v>
      </c>
      <c r="E26" s="6" t="s">
        <v>137</v>
      </c>
      <c r="F26" s="6" t="s">
        <v>119</v>
      </c>
      <c r="G26" s="13" t="n">
        <v>9</v>
      </c>
      <c r="H26" s="13" t="n">
        <v>0</v>
      </c>
      <c r="I26" s="13" t="n">
        <v>5</v>
      </c>
      <c r="J26" s="6" t="s">
        <v>5782</v>
      </c>
      <c r="K26" s="6" t="n">
        <v>4</v>
      </c>
      <c r="L26" s="14" t="n">
        <v>0.1031</v>
      </c>
      <c r="M26" s="6" t="s">
        <v>140</v>
      </c>
    </row>
    <row r="27" customFormat="false" ht="21.75" hidden="false" customHeight="true" outlineLevel="0" collapsed="false">
      <c r="B27" s="3" t="s">
        <v>219</v>
      </c>
      <c r="C27" s="3" t="s">
        <v>40</v>
      </c>
      <c r="E27" s="4" t="s">
        <v>62</v>
      </c>
      <c r="F27" s="4" t="s">
        <v>22</v>
      </c>
      <c r="G27" s="11" t="n">
        <v>18</v>
      </c>
      <c r="H27" s="11" t="n">
        <v>0</v>
      </c>
      <c r="I27" s="11" t="n">
        <v>2</v>
      </c>
      <c r="J27" s="4" t="s">
        <v>5782</v>
      </c>
      <c r="K27" s="4" t="n">
        <v>11</v>
      </c>
      <c r="L27" s="12" t="n">
        <v>0.1132</v>
      </c>
      <c r="M27" s="4" t="s">
        <v>65</v>
      </c>
    </row>
    <row r="28" customFormat="false" ht="21.75" hidden="false" customHeight="true" outlineLevel="0" collapsed="false">
      <c r="B28" s="4" t="s">
        <v>5802</v>
      </c>
      <c r="C28" s="11" t="n">
        <v>75</v>
      </c>
      <c r="E28" s="6" t="s">
        <v>50</v>
      </c>
      <c r="F28" s="6" t="s">
        <v>22</v>
      </c>
      <c r="G28" s="13" t="n">
        <v>21</v>
      </c>
      <c r="H28" s="13" t="n">
        <v>0</v>
      </c>
      <c r="I28" s="13" t="n">
        <v>1</v>
      </c>
      <c r="J28" s="6" t="s">
        <v>5782</v>
      </c>
      <c r="K28" s="6" t="n">
        <v>11</v>
      </c>
      <c r="L28" s="14" t="n">
        <v>0.1226</v>
      </c>
      <c r="M28" s="6" t="s">
        <v>53</v>
      </c>
    </row>
    <row r="29" customFormat="false" ht="21.75" hidden="false" customHeight="true" outlineLevel="0" collapsed="false">
      <c r="B29" s="6" t="s">
        <v>5803</v>
      </c>
      <c r="C29" s="13" t="n">
        <v>170</v>
      </c>
      <c r="E29" s="4" t="s">
        <v>56</v>
      </c>
      <c r="F29" s="4" t="s">
        <v>22</v>
      </c>
      <c r="G29" s="11" t="n">
        <v>15</v>
      </c>
      <c r="H29" s="11" t="n">
        <v>0</v>
      </c>
      <c r="I29" s="11" t="n">
        <v>3</v>
      </c>
      <c r="J29" s="4" t="s">
        <v>5782</v>
      </c>
      <c r="K29" s="4" t="n">
        <v>11</v>
      </c>
      <c r="L29" s="12" t="n">
        <v>0.1308</v>
      </c>
      <c r="M29" s="4" t="s">
        <v>59</v>
      </c>
    </row>
    <row r="30" customFormat="false" ht="21.75" hidden="false" customHeight="true" outlineLevel="0" collapsed="false">
      <c r="B30" s="4" t="s">
        <v>5804</v>
      </c>
      <c r="C30" s="11" t="n">
        <v>128</v>
      </c>
      <c r="E30" s="6" t="s">
        <v>68</v>
      </c>
      <c r="F30" s="6" t="s">
        <v>22</v>
      </c>
      <c r="G30" s="13" t="n">
        <v>20</v>
      </c>
      <c r="H30" s="13" t="n">
        <v>0</v>
      </c>
      <c r="I30" s="13" t="n">
        <v>1</v>
      </c>
      <c r="J30" s="6" t="s">
        <v>5782</v>
      </c>
      <c r="K30" s="6" t="n">
        <v>13</v>
      </c>
      <c r="L30" s="14" t="n">
        <v>0.137</v>
      </c>
      <c r="M30" s="6" t="s">
        <v>71</v>
      </c>
    </row>
    <row r="31" customFormat="false" ht="21.75" hidden="false" customHeight="true" outlineLevel="0" collapsed="false">
      <c r="B31" s="6" t="s">
        <v>5805</v>
      </c>
      <c r="C31" s="13" t="n">
        <v>69</v>
      </c>
      <c r="E31" s="4" t="s">
        <v>112</v>
      </c>
      <c r="F31" s="4" t="s">
        <v>100</v>
      </c>
      <c r="G31" s="11" t="n">
        <v>16</v>
      </c>
      <c r="H31" s="11" t="n">
        <v>0</v>
      </c>
      <c r="I31" s="11" t="n">
        <v>6</v>
      </c>
      <c r="J31" s="4" t="s">
        <v>5782</v>
      </c>
      <c r="K31" s="4" t="n">
        <v>20</v>
      </c>
      <c r="L31" s="12" t="n">
        <v>0.1329</v>
      </c>
      <c r="M31" s="4" t="s">
        <v>115</v>
      </c>
    </row>
    <row r="32" customFormat="false" ht="21.75" hidden="false" customHeight="true" outlineLevel="0" collapsed="false">
      <c r="B32" s="4" t="s">
        <v>5806</v>
      </c>
      <c r="C32" s="11" t="n">
        <v>86</v>
      </c>
      <c r="E32" s="6" t="s">
        <v>99</v>
      </c>
      <c r="F32" s="6" t="s">
        <v>100</v>
      </c>
      <c r="G32" s="13" t="n">
        <v>23</v>
      </c>
      <c r="H32" s="13" t="n">
        <v>0</v>
      </c>
      <c r="I32" s="13" t="n">
        <v>5</v>
      </c>
      <c r="J32" s="6" t="s">
        <v>5782</v>
      </c>
      <c r="K32" s="6" t="n">
        <v>26</v>
      </c>
      <c r="L32" s="14" t="n">
        <v>0.1372</v>
      </c>
      <c r="M32" s="6" t="s">
        <v>103</v>
      </c>
    </row>
    <row r="33" customFormat="false" ht="21.75" hidden="false" customHeight="true" outlineLevel="0" collapsed="false">
      <c r="E33" s="4" t="s">
        <v>106</v>
      </c>
      <c r="F33" s="4" t="s">
        <v>100</v>
      </c>
      <c r="G33" s="11" t="n">
        <v>10</v>
      </c>
      <c r="H33" s="11" t="n">
        <v>0</v>
      </c>
      <c r="I33" s="11" t="n">
        <v>8</v>
      </c>
      <c r="J33" s="4" t="s">
        <v>5782</v>
      </c>
      <c r="K33" s="4" t="n">
        <v>13</v>
      </c>
      <c r="L33" s="12" t="n">
        <v>0.14</v>
      </c>
      <c r="M33" s="4" t="s">
        <v>109</v>
      </c>
    </row>
    <row r="35" customFormat="false" ht="15" hidden="false" customHeight="false" outlineLevel="0" collapsed="false">
      <c r="B35" s="8" t="s">
        <v>5807</v>
      </c>
    </row>
    <row r="36" customFormat="false" ht="21.75" hidden="false" customHeight="true" outlineLevel="0" collapsed="false">
      <c r="B36" s="4" t="s">
        <v>5808</v>
      </c>
      <c r="C36" s="4" t="n">
        <v>474</v>
      </c>
    </row>
    <row r="37" customFormat="false" ht="21.75" hidden="false" customHeight="true" outlineLevel="0" collapsed="false">
      <c r="B37" s="6" t="s">
        <v>5809</v>
      </c>
      <c r="C37" s="6" t="n">
        <v>130</v>
      </c>
    </row>
    <row r="38" customFormat="false" ht="21.75" hidden="false" customHeight="true" outlineLevel="0" collapsed="false">
      <c r="B38" s="4" t="s">
        <v>5810</v>
      </c>
      <c r="C38" s="4" t="n">
        <v>0.14</v>
      </c>
    </row>
    <row r="39" customFormat="false" ht="21.75" hidden="false" customHeight="true" outlineLevel="0" collapsed="false">
      <c r="B39" s="6" t="s">
        <v>5811</v>
      </c>
      <c r="C39" s="6" t="n">
        <v>0.0571</v>
      </c>
    </row>
    <row r="40" customFormat="false" ht="21.75" hidden="false" customHeight="true" outlineLevel="0" collapsed="false">
      <c r="B40" s="4" t="s">
        <v>5812</v>
      </c>
      <c r="C40" s="4" t="n">
        <v>606</v>
      </c>
    </row>
    <row r="41" customFormat="false" ht="21.75" hidden="false" customHeight="true" outlineLevel="0" collapsed="false">
      <c r="B41" s="6" t="s">
        <v>5813</v>
      </c>
      <c r="C41" s="6" t="s">
        <v>5814</v>
      </c>
    </row>
    <row r="42" customFormat="false" ht="21.75" hidden="false" customHeight="true" outlineLevel="0" collapsed="false">
      <c r="B42" s="4" t="s">
        <v>5815</v>
      </c>
      <c r="C42" s="4" t="s">
        <v>5816</v>
      </c>
    </row>
  </sheetData>
  <mergeCells count="1">
    <mergeCell ref="B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14"/>
    <col collapsed="false" customWidth="true" hidden="false" outlineLevel="0" max="5" min="5" style="1" width="10"/>
  </cols>
  <sheetData>
    <row r="2" customFormat="false" ht="31.5" hidden="false" customHeight="true" outlineLevel="0" collapsed="false">
      <c r="B2" s="2" t="s">
        <v>5817</v>
      </c>
      <c r="C2" s="2"/>
      <c r="D2" s="2"/>
      <c r="E2" s="2"/>
    </row>
    <row r="3" customFormat="false" ht="7.5" hidden="false" customHeight="true" outlineLevel="0" collapsed="false"/>
    <row r="4" customFormat="false" ht="27.75" hidden="false" customHeight="true" outlineLevel="0" collapsed="false">
      <c r="B4" s="3" t="s">
        <v>5818</v>
      </c>
      <c r="C4" s="3" t="s">
        <v>5819</v>
      </c>
      <c r="D4" s="3" t="s">
        <v>5820</v>
      </c>
      <c r="E4" s="3" t="s">
        <v>5821</v>
      </c>
    </row>
    <row r="5" customFormat="false" ht="21.75" hidden="false" customHeight="true" outlineLevel="0" collapsed="false">
      <c r="B5" s="4" t="s">
        <v>5822</v>
      </c>
      <c r="C5" s="11" t="n">
        <v>528</v>
      </c>
      <c r="D5" s="11" t="n">
        <f aca="false">COUNTA(Parts!C5:C532)</f>
        <v>528</v>
      </c>
      <c r="E5" s="4" t="str">
        <f aca="false">IF(C5=D5,"PASS","FAIL")</f>
        <v>PASS</v>
      </c>
    </row>
    <row r="6" customFormat="false" ht="21.75" hidden="false" customHeight="true" outlineLevel="0" collapsed="false">
      <c r="B6" s="6" t="s">
        <v>5823</v>
      </c>
      <c r="C6" s="13" t="n">
        <v>401</v>
      </c>
      <c r="D6" s="13" t="n">
        <f aca="false">COUNTIFS(Parts!B5:B532,"&lt;&gt;",Parts!K5:K532,"&lt;&gt;")</f>
        <v>401</v>
      </c>
      <c r="E6" s="6" t="str">
        <f aca="false">IF(C6=D6,"PASS","FAIL")</f>
        <v>PASS</v>
      </c>
    </row>
    <row r="7" customFormat="false" ht="21.75" hidden="false" customHeight="true" outlineLevel="0" collapsed="false">
      <c r="B7" s="4" t="s">
        <v>5824</v>
      </c>
      <c r="C7" s="11" t="n">
        <v>401</v>
      </c>
      <c r="D7" s="11" t="n">
        <f aca="false">SUM(Sweep!C17:C23)</f>
        <v>401</v>
      </c>
      <c r="E7" s="4" t="str">
        <f aca="false">IF(C7=D7,"PASS","FAIL")</f>
        <v>PASS</v>
      </c>
    </row>
    <row r="8" customFormat="false" ht="21.75" hidden="false" customHeight="true" outlineLevel="0" collapsed="false">
      <c r="B8" s="6" t="s">
        <v>5825</v>
      </c>
      <c r="C8" s="13" t="n">
        <v>528</v>
      </c>
      <c r="D8" s="13" t="n">
        <f aca="false">SUM(Sweep!C28:C32)</f>
        <v>528</v>
      </c>
      <c r="E8" s="6" t="str">
        <f aca="false">IF(C8=D8,"PASS","FAIL")</f>
        <v>PASS</v>
      </c>
    </row>
    <row r="9" customFormat="false" ht="21.75" hidden="false" customHeight="true" outlineLevel="0" collapsed="false">
      <c r="B9" s="4" t="s">
        <v>5826</v>
      </c>
      <c r="C9" s="11" t="n">
        <v>145</v>
      </c>
      <c r="D9" s="11" t="n">
        <f aca="false">COUNTA(Ideas!C5:C149)</f>
        <v>145</v>
      </c>
      <c r="E9" s="4" t="str">
        <f aca="false">IF(C9=D9,"PASS","FAIL")</f>
        <v>PASS</v>
      </c>
    </row>
    <row r="10" customFormat="false" ht="21.75" hidden="false" customHeight="true" outlineLevel="0" collapsed="false">
      <c r="B10" s="6" t="s">
        <v>5827</v>
      </c>
      <c r="C10" s="13" t="n">
        <v>366</v>
      </c>
      <c r="D10" s="13" t="n">
        <f aca="false">COUNTA(Cells!C5:C370)</f>
        <v>366</v>
      </c>
      <c r="E10" s="6" t="str">
        <f aca="false">IF(C10=D10,"PASS","FAIL")</f>
        <v>PASS</v>
      </c>
    </row>
    <row r="11" customFormat="false" ht="21.75" hidden="false" customHeight="true" outlineLevel="0" collapsed="false">
      <c r="B11" s="4" t="s">
        <v>5828</v>
      </c>
      <c r="C11" s="11" t="n">
        <v>106</v>
      </c>
      <c r="D11" s="11" t="n">
        <f aca="false">COUNTA(Ledger!B5:B110)</f>
        <v>106</v>
      </c>
      <c r="E11" s="4" t="str">
        <f aca="false">IF(C11=D11,"PASS","FAIL")</f>
        <v>PASS</v>
      </c>
    </row>
    <row r="12" customFormat="false" ht="21.75" hidden="false" customHeight="true" outlineLevel="0" collapsed="false">
      <c r="B12" s="6" t="s">
        <v>5829</v>
      </c>
      <c r="C12" s="13" t="n">
        <v>29</v>
      </c>
      <c r="D12" s="13" t="n">
        <f aca="false">COUNTA(Corpus!B5:B33)</f>
        <v>29</v>
      </c>
      <c r="E12" s="6" t="str">
        <f aca="false">IF(C12=D12,"PASS","FAIL")</f>
        <v>PASS</v>
      </c>
    </row>
  </sheetData>
  <mergeCells count="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2026-10-04T07:02:46Z</dcterms:created>
  <dc:creator>Z.ai</dc:creator>
  <dc:description/>
  <dc:language>en-US</dc:language>
  <cp:lastModifiedBy/>
  <dcterms:modified xsi:type="dcterms:W3CDTF">2026-10-04T07:03:19Z</dcterms:modified>
  <cp:revision>3</cp:revision>
  <dc:subject/>
  <dc:title>The Decomposition Atlas — wave-66</dc:title>
</cp:coreProperties>
</file>

<file path=docProps/custom.xml><?xml version="1.0" encoding="utf-8"?>
<Properties xmlns="http://schemas.openxmlformats.org/officeDocument/2006/custom-properties" xmlns:vt="http://schemas.openxmlformats.org/officeDocument/2006/docPropsVTypes"/>
</file>